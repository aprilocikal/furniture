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HP Probook\AppData\Local\Packages\5319275A.WhatsAppDesktop_cv1g1gvanyjgm\LocalState\sessions\D56606E19F0A05FC2639622797CADD2AEBB1C842\transfers\2026-06\"/>
    </mc:Choice>
  </mc:AlternateContent>
  <xr:revisionPtr revIDLastSave="0" documentId="13_ncr:1_{D32C2853-0BD2-439A-8960-B1686F92B517}" xr6:coauthVersionLast="47" xr6:coauthVersionMax="47" xr10:uidLastSave="{00000000-0000-0000-0000-000000000000}"/>
  <bookViews>
    <workbookView xWindow="-108" yWindow="-108" windowWidth="23256" windowHeight="13176" xr2:uid="{00000000-000D-0000-FFFF-FFFF00000000}"/>
  </bookViews>
  <sheets>
    <sheet name="DATA" sheetId="1" r:id="rId1"/>
    <sheet name="PIVOTTABLE" sheetId="2" r:id="rId2"/>
    <sheet name="DASHBOARD" sheetId="7" r:id="rId3"/>
  </sheets>
  <definedNames>
    <definedName name="Slicer_Brand">#N/A</definedName>
    <definedName name="Slicer_Jenis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J2" i="1"/>
  <c r="I2" i="1"/>
  <c r="I3" i="1"/>
  <c r="I4" i="1"/>
  <c r="I5" i="1"/>
  <c r="I6" i="1"/>
  <c r="I7" i="1"/>
  <c r="J7" i="1" s="1"/>
  <c r="I8" i="1"/>
  <c r="J8" i="1" s="1"/>
  <c r="I9" i="1"/>
  <c r="J9" i="1" s="1"/>
  <c r="I10" i="1"/>
  <c r="I11" i="1"/>
  <c r="I12" i="1"/>
  <c r="J12" i="1" s="1"/>
  <c r="I13" i="1"/>
  <c r="J13" i="1" s="1"/>
  <c r="I14" i="1"/>
  <c r="I15" i="1"/>
  <c r="I16" i="1"/>
  <c r="J16" i="1" s="1"/>
  <c r="I17" i="1"/>
  <c r="J17" i="1" s="1"/>
  <c r="I18" i="1"/>
  <c r="I19" i="1"/>
  <c r="I20" i="1"/>
  <c r="I21" i="1"/>
  <c r="I22" i="1"/>
  <c r="I23" i="1"/>
  <c r="I24" i="1"/>
  <c r="J24" i="1" s="1"/>
  <c r="I25" i="1"/>
  <c r="J25" i="1" s="1"/>
  <c r="I26" i="1"/>
  <c r="I27" i="1"/>
  <c r="I28" i="1"/>
  <c r="I29" i="1"/>
  <c r="J29" i="1" s="1"/>
  <c r="I30" i="1"/>
  <c r="I31" i="1"/>
  <c r="J31" i="1" s="1"/>
  <c r="I32" i="1"/>
  <c r="J32" i="1" s="1"/>
  <c r="I33" i="1"/>
  <c r="J33" i="1" s="1"/>
  <c r="I34" i="1"/>
  <c r="I35" i="1"/>
  <c r="J35" i="1" s="1"/>
  <c r="I36" i="1"/>
  <c r="J36" i="1" s="1"/>
  <c r="I37" i="1"/>
  <c r="J37" i="1" s="1"/>
  <c r="I38" i="1"/>
  <c r="I39" i="1"/>
  <c r="I40" i="1"/>
  <c r="J40" i="1" s="1"/>
  <c r="I41" i="1"/>
  <c r="J41" i="1" s="1"/>
  <c r="I42" i="1"/>
  <c r="I43" i="1"/>
  <c r="J43" i="1" s="1"/>
  <c r="I44" i="1"/>
  <c r="J44" i="1" s="1"/>
  <c r="I45" i="1"/>
  <c r="J45" i="1" s="1"/>
  <c r="I46" i="1"/>
  <c r="I47" i="1"/>
  <c r="J47" i="1" s="1"/>
  <c r="I48" i="1"/>
  <c r="I49" i="1"/>
  <c r="J49" i="1" s="1"/>
  <c r="I50" i="1"/>
  <c r="I51" i="1"/>
  <c r="I52" i="1"/>
  <c r="I53" i="1"/>
  <c r="J53" i="1" s="1"/>
  <c r="I54" i="1"/>
  <c r="I55" i="1"/>
  <c r="I56" i="1"/>
  <c r="I57" i="1"/>
  <c r="J57" i="1" s="1"/>
  <c r="I58" i="1"/>
  <c r="I59" i="1"/>
  <c r="I60" i="1"/>
  <c r="I61" i="1"/>
  <c r="I62" i="1"/>
  <c r="I63" i="1"/>
  <c r="J63" i="1" s="1"/>
  <c r="I64" i="1"/>
  <c r="J64" i="1" s="1"/>
  <c r="I65" i="1"/>
  <c r="J65" i="1" s="1"/>
  <c r="I66" i="1"/>
  <c r="I67" i="1"/>
  <c r="I68" i="1"/>
  <c r="I69" i="1"/>
  <c r="I70" i="1"/>
  <c r="I71" i="1"/>
  <c r="I72" i="1"/>
  <c r="J72" i="1" s="1"/>
  <c r="I73" i="1"/>
  <c r="J73" i="1" s="1"/>
  <c r="I74" i="1"/>
  <c r="I75" i="1"/>
  <c r="I76" i="1"/>
  <c r="I77" i="1"/>
  <c r="I78" i="1"/>
  <c r="I79" i="1"/>
  <c r="J79" i="1" s="1"/>
  <c r="I80" i="1"/>
  <c r="J80" i="1" s="1"/>
  <c r="I81" i="1"/>
  <c r="J81" i="1" s="1"/>
  <c r="I82" i="1"/>
  <c r="I83" i="1"/>
  <c r="I84" i="1"/>
  <c r="J84" i="1" s="1"/>
  <c r="I85" i="1"/>
  <c r="I86" i="1"/>
  <c r="I87" i="1"/>
  <c r="J87" i="1" s="1"/>
  <c r="I88" i="1"/>
  <c r="J88" i="1" s="1"/>
  <c r="I89" i="1"/>
  <c r="J89" i="1" s="1"/>
  <c r="I90" i="1"/>
  <c r="I91" i="1"/>
  <c r="I92" i="1"/>
  <c r="J92" i="1" s="1"/>
  <c r="I93" i="1"/>
  <c r="J93" i="1" s="1"/>
  <c r="I94" i="1"/>
  <c r="I95" i="1"/>
  <c r="J95" i="1" s="1"/>
  <c r="I96" i="1"/>
  <c r="J96" i="1" s="1"/>
  <c r="I97" i="1"/>
  <c r="J97" i="1" s="1"/>
  <c r="I98" i="1"/>
  <c r="I99" i="1"/>
  <c r="J99" i="1" s="1"/>
  <c r="I100" i="1"/>
  <c r="J100" i="1" s="1"/>
  <c r="J50" i="1"/>
  <c r="J86" i="1"/>
  <c r="J4" i="1"/>
  <c r="J5" i="1"/>
  <c r="J74" i="1"/>
  <c r="J20" i="1"/>
  <c r="J28" i="1"/>
  <c r="J14" i="1"/>
  <c r="J54" i="1"/>
  <c r="J76" i="1"/>
  <c r="J30" i="1"/>
  <c r="J68" i="1"/>
  <c r="J38" i="1"/>
  <c r="J48" i="1"/>
  <c r="J61" i="1"/>
  <c r="J18" i="1"/>
  <c r="J85" i="1"/>
  <c r="J21" i="1"/>
  <c r="J46" i="1"/>
  <c r="J77" i="1"/>
  <c r="J83" i="1"/>
  <c r="J67" i="1"/>
  <c r="J59" i="1"/>
  <c r="J19" i="1"/>
  <c r="J3" i="1"/>
  <c r="J52" i="1"/>
  <c r="J70" i="1"/>
  <c r="J10" i="1"/>
  <c r="J69" i="1"/>
  <c r="J78" i="1"/>
  <c r="J56" i="1"/>
  <c r="J51" i="1"/>
  <c r="J75" i="1"/>
  <c r="J71" i="1"/>
  <c r="J15" i="1"/>
  <c r="J6" i="1"/>
  <c r="J39" i="1"/>
  <c r="J62" i="1"/>
  <c r="J11" i="1"/>
  <c r="J42" i="1"/>
  <c r="J82" i="1"/>
  <c r="J27" i="1"/>
  <c r="J91" i="1"/>
  <c r="J55" i="1"/>
  <c r="J60" i="1"/>
  <c r="J94" i="1"/>
  <c r="J22" i="1"/>
  <c r="J23" i="1"/>
  <c r="J98" i="1"/>
  <c r="J90" i="1"/>
  <c r="J66" i="1"/>
  <c r="J58" i="1"/>
  <c r="J34" i="1"/>
  <c r="J26" i="1"/>
</calcChain>
</file>

<file path=xl/sharedStrings.xml><?xml version="1.0" encoding="utf-8"?>
<sst xmlns="http://schemas.openxmlformats.org/spreadsheetml/2006/main" count="362" uniqueCount="57">
  <si>
    <t>Jenis</t>
  </si>
  <si>
    <t>Ukuran</t>
  </si>
  <si>
    <t>Harga per Item</t>
  </si>
  <si>
    <t>Stok Awal</t>
  </si>
  <si>
    <t>Stok Akhir</t>
  </si>
  <si>
    <t>Jumlah Terjual</t>
  </si>
  <si>
    <t>Tanggal Terjual</t>
  </si>
  <si>
    <t>Brand</t>
  </si>
  <si>
    <t>Kursi</t>
  </si>
  <si>
    <t>Lemari</t>
  </si>
  <si>
    <t>Meja</t>
  </si>
  <si>
    <t>Rak</t>
  </si>
  <si>
    <t>Sofa</t>
  </si>
  <si>
    <t>Tempat Tidur</t>
  </si>
  <si>
    <t>XL</t>
  </si>
  <si>
    <t>S</t>
  </si>
  <si>
    <t>M</t>
  </si>
  <si>
    <t>L</t>
  </si>
  <si>
    <t>GrandSeater</t>
  </si>
  <si>
    <t>SeatLite</t>
  </si>
  <si>
    <t>ComfyPro</t>
  </si>
  <si>
    <t>CabinetPro</t>
  </si>
  <si>
    <t>Wardrova</t>
  </si>
  <si>
    <t>Storika</t>
  </si>
  <si>
    <t>MaxiStor</t>
  </si>
  <si>
    <t>DeskPrime</t>
  </si>
  <si>
    <t>Tablex</t>
  </si>
  <si>
    <t>MegaDesk</t>
  </si>
  <si>
    <t>TitanRack</t>
  </si>
  <si>
    <t>Rackify</t>
  </si>
  <si>
    <t>HoldMax</t>
  </si>
  <si>
    <t>CozyLounge</t>
  </si>
  <si>
    <t>GrandLuxe</t>
  </si>
  <si>
    <t>SoftNest</t>
  </si>
  <si>
    <t>SleepEZ</t>
  </si>
  <si>
    <t>DreamRest</t>
  </si>
  <si>
    <t>NightComfort</t>
  </si>
  <si>
    <t>RoyalSleep</t>
  </si>
  <si>
    <t>LuxChair</t>
  </si>
  <si>
    <t>WorkBase</t>
  </si>
  <si>
    <t>Row Labels</t>
  </si>
  <si>
    <t>Sum of Harga per Item</t>
  </si>
  <si>
    <t>Grand Total</t>
  </si>
  <si>
    <t>Sum of Stok Awal</t>
  </si>
  <si>
    <t>Sum of Stok Akhir</t>
  </si>
  <si>
    <t>Sum of Jumlah Terjual</t>
  </si>
  <si>
    <t>Count of Ukuran</t>
  </si>
  <si>
    <t>Jul</t>
  </si>
  <si>
    <t>Aug</t>
  </si>
  <si>
    <t>Sep</t>
  </si>
  <si>
    <t>HPP</t>
  </si>
  <si>
    <t>Profit Per Item</t>
  </si>
  <si>
    <t>Total Profit</t>
  </si>
  <si>
    <t>Sum of HPP</t>
  </si>
  <si>
    <t>Sum of Profit Per Item</t>
  </si>
  <si>
    <t>Jan</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</si>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</sst>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3809]dd/mm/yyyy;@"/>
  </numFmts>
  <fonts count="3" x14ac:knownFonts="1">
    <font>
      <sz val="11"/>
      <color theme="1"/>
      <name val="Calibri"/>
      <family val="2"/>
      <scheme val="minor"/>
    </font>
    <font>
      <b/>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NumberFormat="1"/>
    <xf numFmtId="0" fontId="0" fillId="0" borderId="0" xfId="0" applyNumberFormat="1" applyAlignment="1">
      <alignment horizontal="center" vertical="center"/>
    </xf>
    <xf numFmtId="0" fontId="0" fillId="0" borderId="0" xfId="0" applyAlignment="1">
      <alignment horizontal="center" vertical="center" indent="1"/>
    </xf>
  </cellXfs>
  <cellStyles count="1">
    <cellStyle name="Normal" xfId="0" builtinId="0"/>
  </cellStyles>
  <dxfs count="327">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138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PivotTable Style 1" table="0" count="0" xr9:uid="{47D32EAA-5DBB-4F22-84D8-7DAA36E8244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2.xlsx]PIVOTTABLE!PivotTable30</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D"/>
              <a:t>Total Penjualan Berdasarkan Ukuran Produk</a:t>
            </a:r>
            <a:endParaRPr lang="en-US"/>
          </a:p>
        </c:rich>
      </c:tx>
      <c:layout>
        <c:manualLayout>
          <c:xMode val="edge"/>
          <c:yMode val="edge"/>
          <c:x val="0.10458100032066076"/>
          <c:y val="2.327250013294077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PIVOTTABLE!$A$8:$A$11</c:f>
              <c:strCache>
                <c:ptCount val="3"/>
                <c:pt idx="0">
                  <c:v>M</c:v>
                </c:pt>
                <c:pt idx="1">
                  <c:v>S</c:v>
                </c:pt>
                <c:pt idx="2">
                  <c:v>XL</c:v>
                </c:pt>
              </c:strCache>
            </c:strRef>
          </c:cat>
          <c:val>
            <c:numRef>
              <c:f>PIVOTTABLE!$B$8:$B$11</c:f>
              <c:numCache>
                <c:formatCode>General</c:formatCode>
                <c:ptCount val="3"/>
                <c:pt idx="0">
                  <c:v>527412</c:v>
                </c:pt>
                <c:pt idx="1">
                  <c:v>1317810</c:v>
                </c:pt>
                <c:pt idx="2">
                  <c:v>1689096</c:v>
                </c:pt>
              </c:numCache>
            </c:numRef>
          </c:val>
          <c:extLst>
            <c:ext xmlns:c16="http://schemas.microsoft.com/office/drawing/2014/chart" uri="{C3380CC4-5D6E-409C-BE32-E72D297353CC}">
              <c16:uniqueId val="{00000000-0A60-4FEE-85C1-445A99E42DAA}"/>
            </c:ext>
          </c:extLst>
        </c:ser>
        <c:dLbls>
          <c:showLegendKey val="0"/>
          <c:showVal val="1"/>
          <c:showCatName val="0"/>
          <c:showSerName val="0"/>
          <c:showPercent val="0"/>
          <c:showBubbleSize val="0"/>
        </c:dLbls>
        <c:gapWidth val="219"/>
        <c:overlap val="-27"/>
        <c:axId val="978756464"/>
        <c:axId val="978755024"/>
      </c:barChart>
      <c:catAx>
        <c:axId val="9787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755024"/>
        <c:crosses val="autoZero"/>
        <c:auto val="1"/>
        <c:lblAlgn val="ctr"/>
        <c:lblOffset val="100"/>
        <c:noMultiLvlLbl val="0"/>
      </c:catAx>
      <c:valAx>
        <c:axId val="9787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756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2.xlsx]PIVOTTABLE!PivotTable28</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D" b="0"/>
              <a:t>Perbandingan Jumlah Terjual dan Stok Akhir per Produk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PIVOTTABLE!$F$7</c:f>
              <c:strCache>
                <c:ptCount val="1"/>
                <c:pt idx="0">
                  <c:v>Sum of Jumlah Terjual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4">
                  <a:tint val="65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PIVOTTABLE!$E$8:$E$11</c:f>
              <c:strCache>
                <c:ptCount val="3"/>
                <c:pt idx="0">
                  <c:v>HoldMax</c:v>
                </c:pt>
                <c:pt idx="1">
                  <c:v>Rackify</c:v>
                </c:pt>
                <c:pt idx="2">
                  <c:v>TitanRack</c:v>
                </c:pt>
              </c:strCache>
            </c:strRef>
          </c:cat>
          <c:val>
            <c:numRef>
              <c:f>PIVOTTABLE!$F$8:$F$11</c:f>
              <c:numCache>
                <c:formatCode>General</c:formatCode>
                <c:ptCount val="3"/>
                <c:pt idx="0">
                  <c:v>310</c:v>
                </c:pt>
                <c:pt idx="1">
                  <c:v>198</c:v>
                </c:pt>
                <c:pt idx="2">
                  <c:v>400</c:v>
                </c:pt>
              </c:numCache>
            </c:numRef>
          </c:val>
          <c:extLst>
            <c:ext xmlns:c16="http://schemas.microsoft.com/office/drawing/2014/chart" uri="{C3380CC4-5D6E-409C-BE32-E72D297353CC}">
              <c16:uniqueId val="{00000000-2086-4BBC-A187-A06628681246}"/>
            </c:ext>
          </c:extLst>
        </c:ser>
        <c:ser>
          <c:idx val="1"/>
          <c:order val="1"/>
          <c:tx>
            <c:strRef>
              <c:f>PIVOTTABLE!$G$7</c:f>
              <c:strCache>
                <c:ptCount val="1"/>
                <c:pt idx="0">
                  <c:v>Sum of Stok Akhir</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4">
                  <a:tint val="65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PIVOTTABLE!$E$8:$E$11</c:f>
              <c:strCache>
                <c:ptCount val="3"/>
                <c:pt idx="0">
                  <c:v>HoldMax</c:v>
                </c:pt>
                <c:pt idx="1">
                  <c:v>Rackify</c:v>
                </c:pt>
                <c:pt idx="2">
                  <c:v>TitanRack</c:v>
                </c:pt>
              </c:strCache>
            </c:strRef>
          </c:cat>
          <c:val>
            <c:numRef>
              <c:f>PIVOTTABLE!$G$8:$G$11</c:f>
              <c:numCache>
                <c:formatCode>General</c:formatCode>
                <c:ptCount val="3"/>
                <c:pt idx="0">
                  <c:v>199</c:v>
                </c:pt>
                <c:pt idx="1">
                  <c:v>128</c:v>
                </c:pt>
                <c:pt idx="2">
                  <c:v>256</c:v>
                </c:pt>
              </c:numCache>
            </c:numRef>
          </c:val>
          <c:extLst>
            <c:ext xmlns:c16="http://schemas.microsoft.com/office/drawing/2014/chart" uri="{C3380CC4-5D6E-409C-BE32-E72D297353CC}">
              <c16:uniqueId val="{00000001-2086-4BBC-A187-A0662868124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[isas 1 smster 2.xlsx]PIVOTTABLE!PivotTable22</c:name>
    <c:fmtId val="2"/>
  </c:pivotSource>
  <c:chart>
    <c:title>
      <c:tx>
        <c:rich>
          <a:bodyPr rot="0" spcFirstLastPara="1" vertOverflow="ellipsis" vert="horz" wrap="square" anchor="ctr" anchorCtr="1"/>
          <a:lstStyle/>
          <a:p>
            <a:pPr>
              <a:defRPr sz="800" b="1" i="0" u="none" strike="noStrike" kern="1200" cap="all" spc="50" baseline="0">
                <a:solidFill>
                  <a:schemeClr val="lt1"/>
                </a:solidFill>
                <a:latin typeface="+mn-lt"/>
                <a:ea typeface="+mn-ea"/>
                <a:cs typeface="+mn-cs"/>
              </a:defRPr>
            </a:pPr>
            <a:r>
              <a:rPr lang="en-ID" sz="800" b="1" i="0" u="none" strike="noStrike" cap="all" baseline="0">
                <a:solidFill>
                  <a:schemeClr val="lt1"/>
                </a:solidFill>
                <a:latin typeface="+mn-lt"/>
                <a:ea typeface="+mn-ea"/>
                <a:cs typeface="+mn-cs"/>
              </a:rPr>
              <a:t>Perbandingan Stok Awal dan Stok Akhir per Kategori Produk</a:t>
            </a:r>
            <a:endParaRPr lang="en-ID" sz="800"/>
          </a:p>
        </c:rich>
      </c:tx>
      <c:overlay val="0"/>
      <c:spPr>
        <a:solidFill>
          <a:schemeClr val="accent4"/>
        </a:solidFill>
        <a:ln w="25400" cap="flat" cmpd="sng" algn="ctr">
          <a:solidFill>
            <a:schemeClr val="accent4">
              <a:shade val="15000"/>
            </a:schemeClr>
          </a:solidFill>
          <a:prstDash val="solid"/>
        </a:ln>
        <a:effectLst/>
      </c:spPr>
      <c:txPr>
        <a:bodyPr rot="0" spcFirstLastPara="1" vertOverflow="ellipsis" vert="horz" wrap="square" anchor="ctr" anchorCtr="1"/>
        <a:lstStyle/>
        <a:p>
          <a:pPr>
            <a:defRPr sz="8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PIVOTTABLE!$B$16</c:f>
              <c:strCache>
                <c:ptCount val="1"/>
                <c:pt idx="0">
                  <c:v>Sum of Stok Akhir</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PIVOTTABLE!$A$17:$A$18</c:f>
              <c:strCache>
                <c:ptCount val="1"/>
                <c:pt idx="0">
                  <c:v>Rak</c:v>
                </c:pt>
              </c:strCache>
            </c:strRef>
          </c:cat>
          <c:val>
            <c:numRef>
              <c:f>PIVOTTABLE!$B$17:$B$18</c:f>
              <c:numCache>
                <c:formatCode>General</c:formatCode>
                <c:ptCount val="1"/>
                <c:pt idx="0">
                  <c:v>583</c:v>
                </c:pt>
              </c:numCache>
            </c:numRef>
          </c:val>
          <c:extLst>
            <c:ext xmlns:c16="http://schemas.microsoft.com/office/drawing/2014/chart" uri="{C3380CC4-5D6E-409C-BE32-E72D297353CC}">
              <c16:uniqueId val="{00000000-30BB-4D17-98AA-040244E7986A}"/>
            </c:ext>
          </c:extLst>
        </c:ser>
        <c:ser>
          <c:idx val="1"/>
          <c:order val="1"/>
          <c:tx>
            <c:strRef>
              <c:f>PIVOTTABLE!$C$16</c:f>
              <c:strCache>
                <c:ptCount val="1"/>
                <c:pt idx="0">
                  <c:v>Sum of Stok Awal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PIVOTTABLE!$A$17:$A$18</c:f>
              <c:strCache>
                <c:ptCount val="1"/>
                <c:pt idx="0">
                  <c:v>Rak</c:v>
                </c:pt>
              </c:strCache>
            </c:strRef>
          </c:cat>
          <c:val>
            <c:numRef>
              <c:f>PIVOTTABLE!$C$17:$C$18</c:f>
              <c:numCache>
                <c:formatCode>General</c:formatCode>
                <c:ptCount val="1"/>
                <c:pt idx="0">
                  <c:v>1491</c:v>
                </c:pt>
              </c:numCache>
            </c:numRef>
          </c:val>
          <c:extLst>
            <c:ext xmlns:c16="http://schemas.microsoft.com/office/drawing/2014/chart" uri="{C3380CC4-5D6E-409C-BE32-E72D297353CC}">
              <c16:uniqueId val="{00000001-30BB-4D17-98AA-040244E7986A}"/>
            </c:ext>
          </c:extLst>
        </c:ser>
        <c:dLbls>
          <c:dLblPos val="inEnd"/>
          <c:showLegendKey val="0"/>
          <c:showVal val="1"/>
          <c:showCatName val="0"/>
          <c:showSerName val="0"/>
          <c:showPercent val="0"/>
          <c:showBubbleSize val="0"/>
        </c:dLbls>
        <c:gapWidth val="355"/>
        <c:overlap val="-70"/>
        <c:axId val="986390576"/>
        <c:axId val="986389616"/>
      </c:barChart>
      <c:catAx>
        <c:axId val="98639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89616"/>
        <c:crosses val="autoZero"/>
        <c:auto val="1"/>
        <c:lblAlgn val="ctr"/>
        <c:lblOffset val="100"/>
        <c:noMultiLvlLbl val="0"/>
      </c:catAx>
      <c:valAx>
        <c:axId val="9863896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39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2.xlsx]PIVOTTABLE!PivotTable27</c:name>
    <c:fmtId val="2"/>
  </c:pivotSource>
  <c:chart>
    <c:title>
      <c:tx>
        <c:rich>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r>
              <a:rPr lang="en-ID" sz="1200" b="1" i="0" u="none" strike="noStrike" baseline="0">
                <a:solidFill>
                  <a:schemeClr val="lt1"/>
                </a:solidFill>
                <a:latin typeface="+mn-lt"/>
                <a:ea typeface="+mn-ea"/>
                <a:cs typeface="+mn-cs"/>
              </a:rPr>
              <a:t>Total Penjualan Produk per brand</a:t>
            </a:r>
            <a:endParaRPr lang="en-US" sz="1200"/>
          </a:p>
        </c:rich>
      </c:tx>
      <c:overlay val="0"/>
      <c:spPr>
        <a:solidFill>
          <a:schemeClr val="accent4"/>
        </a:solidFill>
        <a:ln w="25400" cap="flat" cmpd="sng" algn="ctr">
          <a:solidFill>
            <a:schemeClr val="accent4">
              <a:shade val="15000"/>
            </a:schemeClr>
          </a:solidFill>
          <a:prstDash val="solid"/>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84782603678149E-2"/>
          <c:y val="0.16009906882509906"/>
          <c:w val="0.57926695058484945"/>
          <c:h val="0.73976555614732797"/>
        </c:manualLayout>
      </c:layout>
      <c:barChart>
        <c:barDir val="col"/>
        <c:grouping val="clustered"/>
        <c:varyColors val="0"/>
        <c:ser>
          <c:idx val="0"/>
          <c:order val="0"/>
          <c:tx>
            <c:strRef>
              <c:f>PIVOTTABLE!$J$7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PIVOTTABLE!$I$8:$I$21</c:f>
              <c:multiLvlStrCache>
                <c:ptCount val="8"/>
                <c:lvl>
                  <c:pt idx="0">
                    <c:v>Rackify</c:v>
                  </c:pt>
                  <c:pt idx="1">
                    <c:v>TitanRack</c:v>
                  </c:pt>
                  <c:pt idx="2">
                    <c:v>HoldMax</c:v>
                  </c:pt>
                  <c:pt idx="3">
                    <c:v>TitanRack</c:v>
                  </c:pt>
                  <c:pt idx="4">
                    <c:v>TitanRack</c:v>
                  </c:pt>
                  <c:pt idx="5">
                    <c:v>Rackify</c:v>
                  </c:pt>
                  <c:pt idx="6">
                    <c:v>HoldMax</c:v>
                  </c:pt>
                  <c:pt idx="7">
                    <c:v>Rackify</c:v>
                  </c:pt>
                </c:lvl>
                <c:lvl>
                  <c:pt idx="0">
                    <c:v>Jan</c:v>
                  </c:pt>
                  <c:pt idx="2">
                    <c:v>Mar</c:v>
                  </c:pt>
                  <c:pt idx="4">
                    <c:v>Jul</c:v>
                  </c:pt>
                  <c:pt idx="5">
                    <c:v>Aug</c:v>
                  </c:pt>
                  <c:pt idx="6">
                    <c:v>Sep</c:v>
                  </c:pt>
                </c:lvl>
              </c:multiLvlStrCache>
            </c:multiLvlStrRef>
          </c:cat>
          <c:val>
            <c:numRef>
              <c:f>PIVOTTABLE!$J$8:$J$21</c:f>
              <c:numCache>
                <c:formatCode>General</c:formatCode>
                <c:ptCount val="8"/>
                <c:pt idx="0">
                  <c:v>102</c:v>
                </c:pt>
                <c:pt idx="1">
                  <c:v>68</c:v>
                </c:pt>
                <c:pt idx="2">
                  <c:v>260</c:v>
                </c:pt>
                <c:pt idx="3">
                  <c:v>98</c:v>
                </c:pt>
                <c:pt idx="4">
                  <c:v>234</c:v>
                </c:pt>
                <c:pt idx="5">
                  <c:v>60</c:v>
                </c:pt>
                <c:pt idx="6">
                  <c:v>50</c:v>
                </c:pt>
                <c:pt idx="7">
                  <c:v>36</c:v>
                </c:pt>
              </c:numCache>
            </c:numRef>
          </c:val>
          <c:extLst>
            <c:ext xmlns:c16="http://schemas.microsoft.com/office/drawing/2014/chart" uri="{C3380CC4-5D6E-409C-BE32-E72D297353CC}">
              <c16:uniqueId val="{00000000-ED69-4C6E-8210-428BE4E1A934}"/>
            </c:ext>
          </c:extLst>
        </c:ser>
        <c:dLbls>
          <c:showLegendKey val="0"/>
          <c:showVal val="0"/>
          <c:showCatName val="0"/>
          <c:showSerName val="0"/>
          <c:showPercent val="0"/>
          <c:showBubbleSize val="0"/>
        </c:dLbls>
        <c:gapWidth val="115"/>
        <c:axId val="1046774256"/>
        <c:axId val="978755024"/>
      </c:barChart>
      <c:catAx>
        <c:axId val="1046774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755024"/>
        <c:crosses val="autoZero"/>
        <c:auto val="1"/>
        <c:lblAlgn val="ctr"/>
        <c:lblOffset val="100"/>
        <c:noMultiLvlLbl val="0"/>
      </c:catAx>
      <c:valAx>
        <c:axId val="9787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7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2.xlsx]PIVOTTABLE!PivotTable33</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D"/>
              <a:t>Distribusi Kontribusi Penjualan per Produk</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4">
              <a:alpha val="70000"/>
            </a:schemeClr>
          </a:solidFill>
          <a:ln>
            <a:noFill/>
          </a:ln>
          <a:effectLst/>
        </c:spPr>
      </c:pivotFmt>
      <c:pivotFmt>
        <c:idx val="15"/>
        <c:spPr>
          <a:solidFill>
            <a:schemeClr val="accent4">
              <a:alpha val="70000"/>
            </a:schemeClr>
          </a:solidFill>
          <a:ln>
            <a:noFill/>
          </a:ln>
          <a:effectLst/>
        </c:spPr>
      </c:pivotFmt>
      <c:pivotFmt>
        <c:idx val="16"/>
        <c:spPr>
          <a:solidFill>
            <a:schemeClr val="accent4">
              <a:alpha val="70000"/>
            </a:schemeClr>
          </a:solidFill>
          <a:ln>
            <a:noFill/>
          </a:ln>
          <a:effectLst/>
        </c:spPr>
      </c:pivotFmt>
      <c:pivotFmt>
        <c:idx val="17"/>
      </c:pivotFmt>
      <c:pivotFmt>
        <c:idx val="18"/>
      </c:pivotFmt>
      <c:pivotFmt>
        <c:idx val="19"/>
      </c:pivotFmt>
      <c:pivotFmt>
        <c:idx val="20"/>
      </c:pivotFmt>
      <c:pivotFmt>
        <c:idx val="21"/>
      </c:pivotFmt>
      <c:pivotFmt>
        <c:idx val="22"/>
      </c:pivotFmt>
      <c:pivotFmt>
        <c:idx val="23"/>
      </c:pivotFmt>
    </c:pivotFmts>
    <c:plotArea>
      <c:layout/>
      <c:barChart>
        <c:barDir val="col"/>
        <c:grouping val="clustered"/>
        <c:varyColors val="0"/>
        <c:ser>
          <c:idx val="0"/>
          <c:order val="0"/>
          <c:tx>
            <c:strRef>
              <c:f>PIVOTTABLE!$M$7</c:f>
              <c:strCache>
                <c:ptCount val="1"/>
                <c:pt idx="0">
                  <c:v>Total</c:v>
                </c:pt>
              </c:strCache>
            </c:strRef>
          </c:tx>
          <c:spPr>
            <a:solidFill>
              <a:schemeClr val="accent4">
                <a:alpha val="70000"/>
              </a:schemeClr>
            </a:solidFill>
            <a:ln>
              <a:noFill/>
            </a:ln>
            <a:effectLst/>
          </c:spPr>
          <c:invertIfNegative val="0"/>
          <c:dPt>
            <c:idx val="0"/>
            <c:invertIfNegative val="0"/>
            <c:bubble3D val="0"/>
            <c:extLst>
              <c:ext xmlns:c16="http://schemas.microsoft.com/office/drawing/2014/chart" uri="{C3380CC4-5D6E-409C-BE32-E72D297353CC}">
                <c16:uniqueId val="{00000001-A7F7-4974-9363-92B6DCC543CC}"/>
              </c:ext>
            </c:extLst>
          </c:dPt>
          <c:dPt>
            <c:idx val="1"/>
            <c:invertIfNegative val="0"/>
            <c:bubble3D val="0"/>
            <c:extLst>
              <c:ext xmlns:c16="http://schemas.microsoft.com/office/drawing/2014/chart" uri="{C3380CC4-5D6E-409C-BE32-E72D297353CC}">
                <c16:uniqueId val="{00000003-A7F7-4974-9363-92B6DCC543CC}"/>
              </c:ext>
            </c:extLst>
          </c:dPt>
          <c:dPt>
            <c:idx val="2"/>
            <c:invertIfNegative val="0"/>
            <c:bubble3D val="0"/>
            <c:extLst>
              <c:ext xmlns:c16="http://schemas.microsoft.com/office/drawing/2014/chart" uri="{C3380CC4-5D6E-409C-BE32-E72D297353CC}">
                <c16:uniqueId val="{00000005-A7F7-4974-9363-92B6DCC543CC}"/>
              </c:ext>
            </c:extLst>
          </c:dPt>
          <c:dPt>
            <c:idx val="3"/>
            <c:invertIfNegative val="0"/>
            <c:bubble3D val="0"/>
            <c:extLst>
              <c:ext xmlns:c16="http://schemas.microsoft.com/office/drawing/2014/chart" uri="{C3380CC4-5D6E-409C-BE32-E72D297353CC}">
                <c16:uniqueId val="{00000007-A7F7-4974-9363-92B6DCC543CC}"/>
              </c:ext>
            </c:extLst>
          </c:dPt>
          <c:dPt>
            <c:idx val="4"/>
            <c:invertIfNegative val="0"/>
            <c:bubble3D val="0"/>
            <c:extLst>
              <c:ext xmlns:c16="http://schemas.microsoft.com/office/drawing/2014/chart" uri="{C3380CC4-5D6E-409C-BE32-E72D297353CC}">
                <c16:uniqueId val="{00000009-E4C0-4822-9604-7B86661C3CD9}"/>
              </c:ext>
            </c:extLst>
          </c:dPt>
          <c:dPt>
            <c:idx val="5"/>
            <c:invertIfNegative val="0"/>
            <c:bubble3D val="0"/>
            <c:extLst>
              <c:ext xmlns:c16="http://schemas.microsoft.com/office/drawing/2014/chart" uri="{C3380CC4-5D6E-409C-BE32-E72D297353CC}">
                <c16:uniqueId val="{0000000B-E4C0-4822-9604-7B86661C3CD9}"/>
              </c:ext>
            </c:extLst>
          </c:dPt>
          <c:dPt>
            <c:idx val="6"/>
            <c:invertIfNegative val="0"/>
            <c:bubble3D val="0"/>
            <c:extLst>
              <c:ext xmlns:c16="http://schemas.microsoft.com/office/drawing/2014/chart" uri="{C3380CC4-5D6E-409C-BE32-E72D297353CC}">
                <c16:uniqueId val="{0000000D-E4C0-4822-9604-7B86661C3CD9}"/>
              </c:ext>
            </c:extLst>
          </c:dPt>
          <c:dPt>
            <c:idx val="7"/>
            <c:invertIfNegative val="0"/>
            <c:bubble3D val="0"/>
            <c:extLst>
              <c:ext xmlns:c16="http://schemas.microsoft.com/office/drawing/2014/chart" uri="{C3380CC4-5D6E-409C-BE32-E72D297353CC}">
                <c16:uniqueId val="{0000000F-E4C0-4822-9604-7B86661C3CD9}"/>
              </c:ext>
            </c:extLst>
          </c:dPt>
          <c:dPt>
            <c:idx val="8"/>
            <c:invertIfNegative val="0"/>
            <c:bubble3D val="0"/>
            <c:extLst>
              <c:ext xmlns:c16="http://schemas.microsoft.com/office/drawing/2014/chart" uri="{C3380CC4-5D6E-409C-BE32-E72D297353CC}">
                <c16:uniqueId val="{00000011-E4C0-4822-9604-7B86661C3CD9}"/>
              </c:ext>
            </c:extLst>
          </c:dPt>
          <c:dPt>
            <c:idx val="9"/>
            <c:invertIfNegative val="0"/>
            <c:bubble3D val="0"/>
            <c:extLst>
              <c:ext xmlns:c16="http://schemas.microsoft.com/office/drawing/2014/chart" uri="{C3380CC4-5D6E-409C-BE32-E72D297353CC}">
                <c16:uniqueId val="{00000013-E4C0-4822-9604-7B86661C3CD9}"/>
              </c:ext>
            </c:extLst>
          </c:dPt>
          <c:dPt>
            <c:idx val="10"/>
            <c:invertIfNegative val="0"/>
            <c:bubble3D val="0"/>
            <c:extLst>
              <c:ext xmlns:c16="http://schemas.microsoft.com/office/drawing/2014/chart" uri="{C3380CC4-5D6E-409C-BE32-E72D297353CC}">
                <c16:uniqueId val="{00000015-E4C0-4822-9604-7B86661C3CD9}"/>
              </c:ext>
            </c:extLst>
          </c:dPt>
          <c:dPt>
            <c:idx val="11"/>
            <c:invertIfNegative val="0"/>
            <c:bubble3D val="0"/>
            <c:extLst>
              <c:ext xmlns:c16="http://schemas.microsoft.com/office/drawing/2014/chart" uri="{C3380CC4-5D6E-409C-BE32-E72D297353CC}">
                <c16:uniqueId val="{00000017-E4C0-4822-9604-7B86661C3CD9}"/>
              </c:ext>
            </c:extLst>
          </c:dPt>
          <c:dPt>
            <c:idx val="12"/>
            <c:invertIfNegative val="0"/>
            <c:bubble3D val="0"/>
            <c:extLst>
              <c:ext xmlns:c16="http://schemas.microsoft.com/office/drawing/2014/chart" uri="{C3380CC4-5D6E-409C-BE32-E72D297353CC}">
                <c16:uniqueId val="{00000019-E4C0-4822-9604-7B86661C3CD9}"/>
              </c:ext>
            </c:extLst>
          </c:dPt>
          <c:dPt>
            <c:idx val="13"/>
            <c:invertIfNegative val="0"/>
            <c:bubble3D val="0"/>
            <c:extLst>
              <c:ext xmlns:c16="http://schemas.microsoft.com/office/drawing/2014/chart" uri="{C3380CC4-5D6E-409C-BE32-E72D297353CC}">
                <c16:uniqueId val="{0000001B-E4C0-4822-9604-7B86661C3CD9}"/>
              </c:ext>
            </c:extLst>
          </c:dPt>
          <c:dPt>
            <c:idx val="14"/>
            <c:invertIfNegative val="0"/>
            <c:bubble3D val="0"/>
            <c:extLst>
              <c:ext xmlns:c16="http://schemas.microsoft.com/office/drawing/2014/chart" uri="{C3380CC4-5D6E-409C-BE32-E72D297353CC}">
                <c16:uniqueId val="{0000001D-E4C0-4822-9604-7B86661C3CD9}"/>
              </c:ext>
            </c:extLst>
          </c:dPt>
          <c:dPt>
            <c:idx val="15"/>
            <c:invertIfNegative val="0"/>
            <c:bubble3D val="0"/>
            <c:extLst>
              <c:ext xmlns:c16="http://schemas.microsoft.com/office/drawing/2014/chart" uri="{C3380CC4-5D6E-409C-BE32-E72D297353CC}">
                <c16:uniqueId val="{0000001F-E4C0-4822-9604-7B86661C3CD9}"/>
              </c:ext>
            </c:extLst>
          </c:dPt>
          <c:dPt>
            <c:idx val="16"/>
            <c:invertIfNegative val="0"/>
            <c:bubble3D val="0"/>
            <c:extLst>
              <c:ext xmlns:c16="http://schemas.microsoft.com/office/drawing/2014/chart" uri="{C3380CC4-5D6E-409C-BE32-E72D297353CC}">
                <c16:uniqueId val="{00000021-E4C0-4822-9604-7B86661C3CD9}"/>
              </c:ext>
            </c:extLst>
          </c:dPt>
          <c:dPt>
            <c:idx val="17"/>
            <c:invertIfNegative val="0"/>
            <c:bubble3D val="0"/>
            <c:extLst>
              <c:ext xmlns:c16="http://schemas.microsoft.com/office/drawing/2014/chart" uri="{C3380CC4-5D6E-409C-BE32-E72D297353CC}">
                <c16:uniqueId val="{00000023-E4C0-4822-9604-7B86661C3CD9}"/>
              </c:ext>
            </c:extLst>
          </c:dPt>
          <c:dPt>
            <c:idx val="18"/>
            <c:invertIfNegative val="0"/>
            <c:bubble3D val="0"/>
            <c:extLst>
              <c:ext xmlns:c16="http://schemas.microsoft.com/office/drawing/2014/chart" uri="{C3380CC4-5D6E-409C-BE32-E72D297353CC}">
                <c16:uniqueId val="{00000025-E4C0-4822-9604-7B86661C3CD9}"/>
              </c:ext>
            </c:extLst>
          </c:dPt>
          <c:dPt>
            <c:idx val="19"/>
            <c:invertIfNegative val="0"/>
            <c:bubble3D val="0"/>
            <c:extLst>
              <c:ext xmlns:c16="http://schemas.microsoft.com/office/drawing/2014/chart" uri="{C3380CC4-5D6E-409C-BE32-E72D297353CC}">
                <c16:uniqueId val="{00000027-E4C0-4822-9604-7B86661C3CD9}"/>
              </c:ext>
            </c:extLst>
          </c:dPt>
          <c:dPt>
            <c:idx val="20"/>
            <c:invertIfNegative val="0"/>
            <c:bubble3D val="0"/>
            <c:extLst>
              <c:ext xmlns:c16="http://schemas.microsoft.com/office/drawing/2014/chart" uri="{C3380CC4-5D6E-409C-BE32-E72D297353CC}">
                <c16:uniqueId val="{00000029-E4C0-4822-9604-7B86661C3CD9}"/>
              </c:ext>
            </c:extLst>
          </c:dPt>
          <c:dPt>
            <c:idx val="21"/>
            <c:invertIfNegative val="0"/>
            <c:bubble3D val="0"/>
            <c:extLst>
              <c:ext xmlns:c16="http://schemas.microsoft.com/office/drawing/2014/chart" uri="{C3380CC4-5D6E-409C-BE32-E72D297353CC}">
                <c16:uniqueId val="{0000002B-E4C0-4822-9604-7B86661C3CD9}"/>
              </c:ext>
            </c:extLst>
          </c:dPt>
          <c:cat>
            <c:multiLvlStrRef>
              <c:f>PIVOTTABLE!$L$8:$L$12</c:f>
              <c:multiLvlStrCache>
                <c:ptCount val="3"/>
                <c:lvl>
                  <c:pt idx="0">
                    <c:v>HoldMax</c:v>
                  </c:pt>
                  <c:pt idx="1">
                    <c:v>Rackify</c:v>
                  </c:pt>
                  <c:pt idx="2">
                    <c:v>TitanRack</c:v>
                  </c:pt>
                </c:lvl>
                <c:lvl>
                  <c:pt idx="0">
                    <c:v>Rak</c:v>
                  </c:pt>
                </c:lvl>
              </c:multiLvlStrCache>
            </c:multiLvlStrRef>
          </c:cat>
          <c:val>
            <c:numRef>
              <c:f>PIVOTTABLE!$M$8:$M$12</c:f>
              <c:numCache>
                <c:formatCode>General</c:formatCode>
                <c:ptCount val="3"/>
                <c:pt idx="0">
                  <c:v>3</c:v>
                </c:pt>
                <c:pt idx="1">
                  <c:v>6</c:v>
                </c:pt>
                <c:pt idx="2">
                  <c:v>6</c:v>
                </c:pt>
              </c:numCache>
            </c:numRef>
          </c:val>
          <c:extLst>
            <c:ext xmlns:c16="http://schemas.microsoft.com/office/drawing/2014/chart" uri="{C3380CC4-5D6E-409C-BE32-E72D297353CC}">
              <c16:uniqueId val="{00000008-A7F7-4974-9363-92B6DCC543CC}"/>
            </c:ext>
          </c:extLst>
        </c:ser>
        <c:dLbls>
          <c:showLegendKey val="0"/>
          <c:showVal val="0"/>
          <c:showCatName val="0"/>
          <c:showSerName val="0"/>
          <c:showPercent val="0"/>
          <c:showBubbleSize val="0"/>
        </c:dLbls>
        <c:gapWidth val="80"/>
        <c:overlap val="25"/>
        <c:axId val="770826864"/>
        <c:axId val="770823120"/>
      </c:barChart>
      <c:catAx>
        <c:axId val="7708268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70823120"/>
        <c:auto val="1"/>
        <c:lblAlgn val="ctr"/>
        <c:lblOffset val="100"/>
        <c:noMultiLvlLbl val="0"/>
      </c:catAx>
      <c:valAx>
        <c:axId val="77082312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7082686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2.xlsx]PIVOTTABLE!PivotTable32</c:name>
    <c:fmtId val="2"/>
  </c:pivotSource>
  <c:chart>
    <c:title>
      <c:tx>
        <c:rich>
          <a:bodyPr rot="0" spcFirstLastPara="1" vertOverflow="ellipsis" vert="horz" wrap="square" anchor="ctr" anchorCtr="1"/>
          <a:lstStyle/>
          <a:p>
            <a:pPr>
              <a:defRPr sz="1000" b="1" i="0" u="none" strike="noStrike" kern="1200" cap="none" baseline="0">
                <a:solidFill>
                  <a:schemeClr val="lt1"/>
                </a:solidFill>
                <a:latin typeface="+mn-lt"/>
                <a:ea typeface="+mn-ea"/>
                <a:cs typeface="+mn-cs"/>
              </a:defRPr>
            </a:pPr>
            <a:r>
              <a:rPr lang="en-US" sz="1000">
                <a:solidFill>
                  <a:schemeClr val="lt1"/>
                </a:solidFill>
                <a:latin typeface="+mn-lt"/>
                <a:ea typeface="+mn-ea"/>
                <a:cs typeface="+mn-cs"/>
              </a:rPr>
              <a:t>Total</a:t>
            </a:r>
            <a:r>
              <a:rPr lang="en-US" sz="1000" baseline="0">
                <a:solidFill>
                  <a:schemeClr val="lt1"/>
                </a:solidFill>
                <a:latin typeface="+mn-lt"/>
                <a:ea typeface="+mn-ea"/>
                <a:cs typeface="+mn-cs"/>
              </a:rPr>
              <a:t> Trend</a:t>
            </a:r>
            <a:r>
              <a:rPr lang="en-ID" sz="1000" b="1" i="0" u="none" strike="noStrike" cap="none" baseline="0">
                <a:solidFill>
                  <a:schemeClr val="lt1"/>
                </a:solidFill>
                <a:latin typeface="+mn-lt"/>
                <a:ea typeface="+mn-ea"/>
                <a:cs typeface="+mn-cs"/>
              </a:rPr>
              <a:t> Penjualan Produk</a:t>
            </a:r>
            <a:endParaRPr lang="en-US" sz="1000">
              <a:solidFill>
                <a:schemeClr val="tx1"/>
              </a:solidFill>
            </a:endParaRPr>
          </a:p>
        </c:rich>
      </c:tx>
      <c:overlay val="0"/>
      <c:spPr>
        <a:solidFill>
          <a:schemeClr val="accent4"/>
        </a:solidFill>
        <a:ln w="25400" cap="flat" cmpd="sng" algn="ctr">
          <a:solidFill>
            <a:schemeClr val="accent4">
              <a:shade val="15000"/>
            </a:schemeClr>
          </a:solidFill>
          <a:prstDash val="solid"/>
        </a:ln>
        <a:effectLst/>
      </c:spPr>
      <c:txPr>
        <a:bodyPr rot="0" spcFirstLastPara="1" vertOverflow="ellipsis" vert="horz" wrap="square" anchor="ctr" anchorCtr="1"/>
        <a:lstStyle/>
        <a:p>
          <a:pPr>
            <a:defRPr sz="1000" b="1" i="0" u="none" strike="noStrike" kern="1200" cap="none"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PIVOTTABLE!$B$27</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PIVOTTABLE!$A$28:$A$31</c:f>
              <c:strCache>
                <c:ptCount val="3"/>
                <c:pt idx="0">
                  <c:v>HoldMax</c:v>
                </c:pt>
                <c:pt idx="1">
                  <c:v>Rackify</c:v>
                </c:pt>
                <c:pt idx="2">
                  <c:v>TitanRack</c:v>
                </c:pt>
              </c:strCache>
            </c:strRef>
          </c:cat>
          <c:val>
            <c:numRef>
              <c:f>PIVOTTABLE!$B$28:$B$31</c:f>
              <c:numCache>
                <c:formatCode>General</c:formatCode>
                <c:ptCount val="3"/>
                <c:pt idx="0">
                  <c:v>310</c:v>
                </c:pt>
                <c:pt idx="1">
                  <c:v>198</c:v>
                </c:pt>
                <c:pt idx="2">
                  <c:v>400</c:v>
                </c:pt>
              </c:numCache>
            </c:numRef>
          </c:val>
          <c:smooth val="0"/>
          <c:extLst>
            <c:ext xmlns:c16="http://schemas.microsoft.com/office/drawing/2014/chart" uri="{C3380CC4-5D6E-409C-BE32-E72D297353CC}">
              <c16:uniqueId val="{00000000-8501-48CD-A5F4-5517599E39C7}"/>
            </c:ext>
          </c:extLst>
        </c:ser>
        <c:dLbls>
          <c:dLblPos val="ctr"/>
          <c:showLegendKey val="0"/>
          <c:showVal val="1"/>
          <c:showCatName val="0"/>
          <c:showSerName val="0"/>
          <c:showPercent val="0"/>
          <c:showBubbleSize val="0"/>
        </c:dLbls>
        <c:marker val="1"/>
        <c:smooth val="0"/>
        <c:axId val="1836491136"/>
        <c:axId val="1836489696"/>
      </c:lineChart>
      <c:catAx>
        <c:axId val="183649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6489696"/>
        <c:crosses val="autoZero"/>
        <c:auto val="1"/>
        <c:lblAlgn val="ctr"/>
        <c:lblOffset val="100"/>
        <c:noMultiLvlLbl val="0"/>
      </c:catAx>
      <c:valAx>
        <c:axId val="1836489696"/>
        <c:scaling>
          <c:orientation val="minMax"/>
        </c:scaling>
        <c:delete val="0"/>
        <c:axPos val="l"/>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649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[isas 1 smster 2.xlsx]PIVOTTABLE!PivotTable3</c:name>
    <c:fmtId val="3"/>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PIVOTTABLE!$R$7</c:f>
              <c:strCache>
                <c:ptCount val="1"/>
                <c:pt idx="0">
                  <c:v>Sum of Profit Per Item</c:v>
                </c:pt>
              </c:strCache>
            </c:strRef>
          </c:tx>
          <c:spPr>
            <a:solidFill>
              <a:schemeClr val="accent4">
                <a:shade val="65000"/>
              </a:schemeClr>
            </a:solidFill>
            <a:ln>
              <a:noFill/>
            </a:ln>
            <a:effectLst/>
          </c:spPr>
          <c:invertIfNegative val="0"/>
          <c:cat>
            <c:multiLvlStrRef>
              <c:f>PIVOTTABLE!$Q$8:$Q$10</c:f>
              <c:multiLvlStrCache>
                <c:ptCount val="1"/>
                <c:lvl>
                  <c:pt idx="0">
                    <c:v>Tablex</c:v>
                  </c:pt>
                </c:lvl>
                <c:lvl>
                  <c:pt idx="0">
                    <c:v>Meja</c:v>
                  </c:pt>
                </c:lvl>
              </c:multiLvlStrCache>
            </c:multiLvlStrRef>
          </c:cat>
          <c:val>
            <c:numRef>
              <c:f>PIVOTTABLE!$R$8:$R$10</c:f>
              <c:numCache>
                <c:formatCode>General</c:formatCode>
                <c:ptCount val="1"/>
                <c:pt idx="0">
                  <c:v>379657.80000000016</c:v>
                </c:pt>
              </c:numCache>
            </c:numRef>
          </c:val>
          <c:extLst>
            <c:ext xmlns:c16="http://schemas.microsoft.com/office/drawing/2014/chart" uri="{C3380CC4-5D6E-409C-BE32-E72D297353CC}">
              <c16:uniqueId val="{00000000-3E65-4692-929C-C93F5B127A56}"/>
            </c:ext>
          </c:extLst>
        </c:ser>
        <c:ser>
          <c:idx val="1"/>
          <c:order val="1"/>
          <c:tx>
            <c:strRef>
              <c:f>PIVOTTABLE!$S$7</c:f>
              <c:strCache>
                <c:ptCount val="1"/>
                <c:pt idx="0">
                  <c:v>Sum of HPP</c:v>
                </c:pt>
              </c:strCache>
            </c:strRef>
          </c:tx>
          <c:spPr>
            <a:solidFill>
              <a:schemeClr val="accent4"/>
            </a:solidFill>
            <a:ln>
              <a:noFill/>
            </a:ln>
            <a:effectLst/>
          </c:spPr>
          <c:invertIfNegative val="0"/>
          <c:cat>
            <c:multiLvlStrRef>
              <c:f>PIVOTTABLE!$Q$8:$Q$10</c:f>
              <c:multiLvlStrCache>
                <c:ptCount val="1"/>
                <c:lvl>
                  <c:pt idx="0">
                    <c:v>Tablex</c:v>
                  </c:pt>
                </c:lvl>
                <c:lvl>
                  <c:pt idx="0">
                    <c:v>Meja</c:v>
                  </c:pt>
                </c:lvl>
              </c:multiLvlStrCache>
            </c:multiLvlStrRef>
          </c:cat>
          <c:val>
            <c:numRef>
              <c:f>PIVOTTABLE!$S$8:$S$10</c:f>
              <c:numCache>
                <c:formatCode>General</c:formatCode>
                <c:ptCount val="1"/>
                <c:pt idx="0">
                  <c:v>885868.19999999984</c:v>
                </c:pt>
              </c:numCache>
            </c:numRef>
          </c:val>
          <c:extLst>
            <c:ext xmlns:c16="http://schemas.microsoft.com/office/drawing/2014/chart" uri="{C3380CC4-5D6E-409C-BE32-E72D297353CC}">
              <c16:uniqueId val="{00000001-3E65-4692-929C-C93F5B127A56}"/>
            </c:ext>
          </c:extLst>
        </c:ser>
        <c:ser>
          <c:idx val="2"/>
          <c:order val="2"/>
          <c:tx>
            <c:strRef>
              <c:f>PIVOTTABLE!$T$7</c:f>
              <c:strCache>
                <c:ptCount val="1"/>
                <c:pt idx="0">
                  <c:v>Sum of Harga per Item</c:v>
                </c:pt>
              </c:strCache>
            </c:strRef>
          </c:tx>
          <c:spPr>
            <a:solidFill>
              <a:schemeClr val="accent4">
                <a:tint val="65000"/>
              </a:schemeClr>
            </a:solidFill>
            <a:ln>
              <a:noFill/>
            </a:ln>
            <a:effectLst/>
          </c:spPr>
          <c:invertIfNegative val="0"/>
          <c:cat>
            <c:multiLvlStrRef>
              <c:f>PIVOTTABLE!$Q$8:$Q$10</c:f>
              <c:multiLvlStrCache>
                <c:ptCount val="1"/>
                <c:lvl>
                  <c:pt idx="0">
                    <c:v>Tablex</c:v>
                  </c:pt>
                </c:lvl>
                <c:lvl>
                  <c:pt idx="0">
                    <c:v>Meja</c:v>
                  </c:pt>
                </c:lvl>
              </c:multiLvlStrCache>
            </c:multiLvlStrRef>
          </c:cat>
          <c:val>
            <c:numRef>
              <c:f>PIVOTTABLE!$T$8:$T$10</c:f>
              <c:numCache>
                <c:formatCode>General</c:formatCode>
                <c:ptCount val="1"/>
                <c:pt idx="0">
                  <c:v>1265526</c:v>
                </c:pt>
              </c:numCache>
            </c:numRef>
          </c:val>
          <c:extLst>
            <c:ext xmlns:c16="http://schemas.microsoft.com/office/drawing/2014/chart" uri="{C3380CC4-5D6E-409C-BE32-E72D297353CC}">
              <c16:uniqueId val="{00000002-3E65-4692-929C-C93F5B127A56}"/>
            </c:ext>
          </c:extLst>
        </c:ser>
        <c:dLbls>
          <c:showLegendKey val="0"/>
          <c:showVal val="0"/>
          <c:showCatName val="0"/>
          <c:showSerName val="0"/>
          <c:showPercent val="0"/>
          <c:showBubbleSize val="0"/>
        </c:dLbls>
        <c:gapWidth val="219"/>
        <c:overlap val="-27"/>
        <c:axId val="680192272"/>
        <c:axId val="680186448"/>
      </c:barChart>
      <c:catAx>
        <c:axId val="68019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86448"/>
        <c:crosses val="autoZero"/>
        <c:auto val="1"/>
        <c:lblAlgn val="ctr"/>
        <c:lblOffset val="100"/>
        <c:noMultiLvlLbl val="0"/>
      </c:catAx>
      <c:valAx>
        <c:axId val="68018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19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89304</xdr:colOff>
      <xdr:row>1</xdr:row>
      <xdr:rowOff>1658</xdr:rowOff>
    </xdr:from>
    <xdr:to>
      <xdr:col>27</xdr:col>
      <xdr:colOff>86054</xdr:colOff>
      <xdr:row>14</xdr:row>
      <xdr:rowOff>141866</xdr:rowOff>
    </xdr:to>
    <mc:AlternateContent xmlns:mc="http://schemas.openxmlformats.org/markup-compatibility/2006" xmlns:a14="http://schemas.microsoft.com/office/drawing/2010/main">
      <mc:Choice Requires="a14">
        <xdr:graphicFrame macro="">
          <xdr:nvGraphicFramePr>
            <xdr:cNvPr id="2" name="Jenis 1">
              <a:extLst>
                <a:ext uri="{FF2B5EF4-FFF2-40B4-BE49-F238E27FC236}">
                  <a16:creationId xmlns:a16="http://schemas.microsoft.com/office/drawing/2014/main" id="{A0CA9050-B7EE-42C3-8407-4FEA4DB11C8F}"/>
                </a:ext>
              </a:extLst>
            </xdr:cNvPr>
            <xdr:cNvGraphicFramePr/>
          </xdr:nvGraphicFramePr>
          <xdr:xfrm>
            <a:off x="0" y="0"/>
            <a:ext cx="0" cy="0"/>
          </xdr:xfrm>
          <a:graphic>
            <a:graphicData uri="http://schemas.microsoft.com/office/drawing/2010/slicer">
              <sle:slicer xmlns:sle="http://schemas.microsoft.com/office/drawing/2010/slicer" name="Jenis 1"/>
            </a:graphicData>
          </a:graphic>
        </xdr:graphicFrame>
      </mc:Choice>
      <mc:Fallback xmlns="">
        <xdr:sp macro="" textlink="">
          <xdr:nvSpPr>
            <xdr:cNvPr id="0" name=""/>
            <xdr:cNvSpPr>
              <a:spLocks noTextEdit="1"/>
            </xdr:cNvSpPr>
          </xdr:nvSpPr>
          <xdr:spPr>
            <a:xfrm>
              <a:off x="14837691" y="173723"/>
              <a:ext cx="1840298" cy="2377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173210</xdr:rowOff>
    </xdr:from>
    <xdr:to>
      <xdr:col>7</xdr:col>
      <xdr:colOff>304800</xdr:colOff>
      <xdr:row>16</xdr:row>
      <xdr:rowOff>154160</xdr:rowOff>
    </xdr:to>
    <xdr:graphicFrame macro="">
      <xdr:nvGraphicFramePr>
        <xdr:cNvPr id="3" name="Chart 14">
          <a:extLst>
            <a:ext uri="{FF2B5EF4-FFF2-40B4-BE49-F238E27FC236}">
              <a16:creationId xmlns:a16="http://schemas.microsoft.com/office/drawing/2014/main" id="{0BA5D57C-9220-3BD1-0130-A05697DE4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19826</xdr:colOff>
      <xdr:row>2</xdr:row>
      <xdr:rowOff>7005</xdr:rowOff>
    </xdr:from>
    <xdr:to>
      <xdr:col>15</xdr:col>
      <xdr:colOff>340086</xdr:colOff>
      <xdr:row>17</xdr:row>
      <xdr:rowOff>58357</xdr:rowOff>
    </xdr:to>
    <xdr:graphicFrame macro="">
      <xdr:nvGraphicFramePr>
        <xdr:cNvPr id="4" name="Chart 15">
          <a:extLst>
            <a:ext uri="{FF2B5EF4-FFF2-40B4-BE49-F238E27FC236}">
              <a16:creationId xmlns:a16="http://schemas.microsoft.com/office/drawing/2014/main" id="{71043109-3089-A5C1-7C11-FC84680FF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195044</xdr:colOff>
      <xdr:row>18</xdr:row>
      <xdr:rowOff>129351</xdr:rowOff>
    </xdr:from>
    <xdr:to>
      <xdr:col>11</xdr:col>
      <xdr:colOff>390693</xdr:colOff>
      <xdr:row>34</xdr:row>
      <xdr:rowOff>1409</xdr:rowOff>
    </xdr:to>
    <xdr:graphicFrame macro="">
      <xdr:nvGraphicFramePr>
        <xdr:cNvPr id="5" name="Chart 16">
          <a:extLst>
            <a:ext uri="{FF2B5EF4-FFF2-40B4-BE49-F238E27FC236}">
              <a16:creationId xmlns:a16="http://schemas.microsoft.com/office/drawing/2014/main" id="{BDBCA153-7DFF-1FB3-A1E7-833473EEE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53368</xdr:rowOff>
    </xdr:from>
    <xdr:to>
      <xdr:col>23</xdr:col>
      <xdr:colOff>423031</xdr:colOff>
      <xdr:row>50</xdr:row>
      <xdr:rowOff>133832</xdr:rowOff>
    </xdr:to>
    <xdr:graphicFrame macro="">
      <xdr:nvGraphicFramePr>
        <xdr:cNvPr id="6" name="Chart 17">
          <a:extLst>
            <a:ext uri="{FF2B5EF4-FFF2-40B4-BE49-F238E27FC236}">
              <a16:creationId xmlns:a16="http://schemas.microsoft.com/office/drawing/2014/main" id="{F9993827-101B-41E2-C824-BAE2F7E27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8356</xdr:colOff>
      <xdr:row>1</xdr:row>
      <xdr:rowOff>166154</xdr:rowOff>
    </xdr:from>
    <xdr:to>
      <xdr:col>23</xdr:col>
      <xdr:colOff>353778</xdr:colOff>
      <xdr:row>17</xdr:row>
      <xdr:rowOff>50132</xdr:rowOff>
    </xdr:to>
    <xdr:graphicFrame macro="">
      <xdr:nvGraphicFramePr>
        <xdr:cNvPr id="7" name="Chart 18">
          <a:extLst>
            <a:ext uri="{FF2B5EF4-FFF2-40B4-BE49-F238E27FC236}">
              <a16:creationId xmlns:a16="http://schemas.microsoft.com/office/drawing/2014/main" id="{809DBFD5-7ED2-D85B-A3FD-246B95341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222549</xdr:colOff>
      <xdr:row>18</xdr:row>
      <xdr:rowOff>97835</xdr:rowOff>
    </xdr:from>
    <xdr:to>
      <xdr:col>22</xdr:col>
      <xdr:colOff>557873</xdr:colOff>
      <xdr:row>33</xdr:row>
      <xdr:rowOff>178259</xdr:rowOff>
    </xdr:to>
    <xdr:graphicFrame macro="">
      <xdr:nvGraphicFramePr>
        <xdr:cNvPr id="8" name="Chart 19">
          <a:extLst>
            <a:ext uri="{FF2B5EF4-FFF2-40B4-BE49-F238E27FC236}">
              <a16:creationId xmlns:a16="http://schemas.microsoft.com/office/drawing/2014/main" id="{F5FD7878-866F-797C-474C-5EB2F80B9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193411</xdr:colOff>
      <xdr:row>11</xdr:row>
      <xdr:rowOff>169667</xdr:rowOff>
    </xdr:from>
    <xdr:to>
      <xdr:col>39</xdr:col>
      <xdr:colOff>516075</xdr:colOff>
      <xdr:row>27</xdr:row>
      <xdr:rowOff>95300</xdr:rowOff>
    </xdr:to>
    <xdr:graphicFrame macro="">
      <xdr:nvGraphicFramePr>
        <xdr:cNvPr id="10" name="Chart 9">
          <a:extLst>
            <a:ext uri="{FF2B5EF4-FFF2-40B4-BE49-F238E27FC236}">
              <a16:creationId xmlns:a16="http://schemas.microsoft.com/office/drawing/2014/main" id="{244686BF-3E9A-4393-A356-4600954C3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463178</xdr:colOff>
      <xdr:row>12</xdr:row>
      <xdr:rowOff>104587</xdr:rowOff>
    </xdr:from>
    <xdr:to>
      <xdr:col>31</xdr:col>
      <xdr:colOff>454214</xdr:colOff>
      <xdr:row>26</xdr:row>
      <xdr:rowOff>61444</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FE524042-3CC8-44A0-941D-2662DC8D563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7669630" y="2169361"/>
              <a:ext cx="1834584" cy="2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refreshedDate="46062.409570023148" createdVersion="8" refreshedVersion="7" minRefreshableVersion="3" recordCount="99" xr:uid="{39DBA806-84C4-461B-86D2-1C83B2142E79}">
  <cacheSource type="worksheet">
    <worksheetSource name="Table1"/>
  </cacheSource>
  <cacheFields count="13">
    <cacheField name="Jenis" numFmtId="0">
      <sharedItems count="6">
        <s v="Kursi"/>
        <s v="Lemari"/>
        <s v="Meja"/>
        <s v="Rak"/>
        <s v="Sofa"/>
        <s v="Tempat Tidur"/>
      </sharedItems>
    </cacheField>
    <cacheField name="Ukuran" numFmtId="0">
      <sharedItems count="4">
        <s v="XL"/>
        <s v="S"/>
        <s v="M"/>
        <s v="L"/>
      </sharedItems>
    </cacheField>
    <cacheField name="Harga per Item" numFmtId="0">
      <sharedItems containsSemiMixedTypes="0" containsString="0" containsNumber="1" containsInteger="1" minValue="84414" maxValue="281516"/>
    </cacheField>
    <cacheField name="Stok Awal" numFmtId="0">
      <sharedItems containsSemiMixedTypes="0" containsString="0" containsNumber="1" containsInteger="1" minValue="26" maxValue="205"/>
    </cacheField>
    <cacheField name="Stok Akhir" numFmtId="0">
      <sharedItems containsSemiMixedTypes="0" containsString="0" containsNumber="1" containsInteger="1" minValue="11" maxValue="154"/>
    </cacheField>
    <cacheField name="Jumlah Terjual" numFmtId="0">
      <sharedItems containsSemiMixedTypes="0" containsString="0" containsNumber="1" containsInteger="1" minValue="6" maxValue="141" count="40">
        <n v="26"/>
        <n v="13"/>
        <n v="111"/>
        <n v="23"/>
        <n v="83"/>
        <n v="141"/>
        <n v="73"/>
        <n v="15"/>
        <n v="6"/>
        <n v="25"/>
        <n v="28"/>
        <n v="21"/>
        <n v="7"/>
        <n v="89"/>
        <n v="42"/>
        <n v="20"/>
        <n v="34"/>
        <n v="51"/>
        <n v="130"/>
        <n v="49"/>
        <n v="117"/>
        <n v="30"/>
        <n v="18"/>
        <n v="66"/>
        <n v="53"/>
        <n v="100"/>
        <n v="86"/>
        <n v="47"/>
        <n v="69"/>
        <n v="36"/>
        <n v="68"/>
        <n v="41"/>
        <n v="9"/>
        <n v="33"/>
        <n v="127"/>
        <n v="82"/>
        <n v="50"/>
        <n v="40"/>
        <n v="80"/>
        <n v="45"/>
      </sharedItems>
    </cacheField>
    <cacheField name="Tanggal Terjual" numFmtId="164">
      <sharedItems containsSemiMixedTypes="0" containsNonDate="0" containsDate="1" containsString="0" minDate="2025-01-03T00:00:00" maxDate="2025-10-09T00:00:00" count="47">
        <d v="2025-06-09T00:00:00"/>
        <d v="2025-04-01T00:00:00"/>
        <d v="2025-08-25T00:00:00"/>
        <d v="2025-01-23T00:00:00"/>
        <d v="2025-05-29T00:00:00"/>
        <d v="2025-10-08T00:00:00"/>
        <d v="2025-01-03T00:00:00"/>
        <d v="2025-01-27T00:00:00"/>
        <d v="2025-05-05T00:00:00"/>
        <d v="2025-01-08T00:00:00"/>
        <d v="2025-03-21T00:00:00"/>
        <d v="2025-01-09T00:00:00"/>
        <d v="2025-09-11T00:00:00"/>
        <d v="2025-06-01T00:00:00"/>
        <d v="2025-06-10T00:00:00"/>
        <d v="2025-04-07T00:00:00"/>
        <d v="2025-02-14T00:00:00"/>
        <d v="2025-07-23T00:00:00"/>
        <d v="2025-04-04T00:00:00"/>
        <d v="2025-01-11T00:00:00"/>
        <d v="2025-01-07T00:00:00"/>
        <d v="2025-03-10T00:00:00"/>
        <d v="2025-03-22T00:00:00"/>
        <d v="2025-07-07T00:00:00"/>
        <d v="2025-08-15T00:00:00"/>
        <d v="2025-09-20T00:00:00"/>
        <d v="2025-08-06T00:00:00"/>
        <d v="2025-05-12T00:00:00"/>
        <d v="2025-04-26T00:00:00"/>
        <d v="2025-08-07T00:00:00"/>
        <d v="2025-02-18T00:00:00"/>
        <d v="2025-05-20T00:00:00"/>
        <d v="2025-08-09T00:00:00"/>
        <d v="2025-05-03T00:00:00"/>
        <d v="2025-05-14T00:00:00"/>
        <d v="2025-10-01T00:00:00"/>
        <d v="2025-09-12T00:00:00"/>
        <d v="2025-03-09T00:00:00"/>
        <d v="2025-02-27T00:00:00"/>
        <d v="2025-01-19T00:00:00"/>
        <d v="2025-01-22T00:00:00"/>
        <d v="2025-07-05T00:00:00"/>
        <d v="2025-05-15T00:00:00"/>
        <d v="2025-02-01T00:00:00"/>
        <d v="2025-08-05T00:00:00"/>
        <d v="2025-09-10T00:00:00"/>
        <d v="2025-04-15T00:00:00"/>
      </sharedItems>
      <fieldGroup par="12"/>
    </cacheField>
    <cacheField name="Brand" numFmtId="0">
      <sharedItems count="22">
        <s v="GrandSeater"/>
        <s v="SeatLite"/>
        <s v="ComfyPro"/>
        <s v="CabinetPro"/>
        <s v="Wardrova"/>
        <s v="Storika"/>
        <s v="MaxiStor"/>
        <s v="DeskPrime"/>
        <s v="Tablex"/>
        <s v="MegaDesk"/>
        <s v="TitanRack"/>
        <s v="Rackify"/>
        <s v="HoldMax"/>
        <s v="CozyLounge"/>
        <s v="GrandLuxe"/>
        <s v="SoftNest"/>
        <s v="SleepEZ"/>
        <s v="DreamRest"/>
        <s v="NightComfort"/>
        <s v="RoyalSleep"/>
        <s v="LuxChair"/>
        <s v="WorkBase"/>
      </sharedItems>
    </cacheField>
    <cacheField name="HPP" numFmtId="0">
      <sharedItems containsSemiMixedTypes="0" containsString="0" containsNumber="1" minValue="59089.799999999996" maxValue="197061.19999999998"/>
    </cacheField>
    <cacheField name="Profit Per Item" numFmtId="0">
      <sharedItems containsSemiMixedTypes="0" containsString="0" containsNumber="1" minValue="25324.200000000004" maxValue="84454.800000000017"/>
    </cacheField>
    <cacheField name="Total Profit" numFmtId="0">
      <sharedItems containsSemiMixedTypes="0" containsString="0" containsNumber="1" minValue="217039.20000000004" maxValue="9881211.6000000015"/>
    </cacheField>
    <cacheField name="Days (Tanggal Terjual)" numFmtId="0" databaseField="0">
      <fieldGroup base="6">
        <rangePr groupBy="days" startDate="2025-01-03T00:00:00" endDate="2025-10-09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9/2025"/>
        </groupItems>
      </fieldGroup>
    </cacheField>
    <cacheField name="Months (Tanggal Terjual)" numFmtId="0" databaseField="0">
      <fieldGroup base="6">
        <rangePr groupBy="months" startDate="2025-01-03T00:00:00" endDate="2025-10-09T00:00:00"/>
        <groupItems count="14">
          <s v="&lt;1/3/2025"/>
          <s v="Jan"/>
          <s v="Feb"/>
          <s v="Mar"/>
          <s v="Apr"/>
          <s v="May"/>
          <s v="Jun"/>
          <s v="Jul"/>
          <s v="Aug"/>
          <s v="Sep"/>
          <s v="Oct"/>
          <s v="Nov"/>
          <s v="Dec"/>
          <s v="&gt;10/9/2025"/>
        </groupItems>
      </fieldGroup>
    </cacheField>
  </cacheFields>
  <extLst>
    <ext xmlns:x14="http://schemas.microsoft.com/office/spreadsheetml/2009/9/main" uri="{725AE2AE-9491-48be-B2B4-4EB974FC3084}">
      <x14:pivotCacheDefinition pivotCacheId="10824906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robook" refreshedDate="46062.41242453704" createdVersion="7" refreshedVersion="7" minRefreshableVersion="3" recordCount="99" xr:uid="{2BC17B83-AA77-4644-AF7E-562926EBA8A5}">
  <cacheSource type="worksheet">
    <worksheetSource name="Table1"/>
  </cacheSource>
  <cacheFields count="11">
    <cacheField name="Jenis" numFmtId="0">
      <sharedItems count="6">
        <s v="Kursi"/>
        <s v="Lemari"/>
        <s v="Meja"/>
        <s v="Rak"/>
        <s v="Sofa"/>
        <s v="Tempat Tidur"/>
      </sharedItems>
    </cacheField>
    <cacheField name="Ukuran" numFmtId="0">
      <sharedItems count="4">
        <s v="XL"/>
        <s v="S"/>
        <s v="M"/>
        <s v="L"/>
      </sharedItems>
    </cacheField>
    <cacheField name="Harga per Item" numFmtId="0">
      <sharedItems containsSemiMixedTypes="0" containsString="0" containsNumber="1" containsInteger="1" minValue="84414" maxValue="281516" count="22">
        <n v="261231"/>
        <n v="112901"/>
        <n v="202650"/>
        <n v="169407"/>
        <n v="135039"/>
        <n v="163424"/>
        <n v="183484"/>
        <n v="128935"/>
        <n v="210921"/>
        <n v="139317"/>
        <n v="281516"/>
        <n v="219635"/>
        <n v="175804"/>
        <n v="144397"/>
        <n v="234142"/>
        <n v="103352"/>
        <n v="164975"/>
        <n v="224602"/>
        <n v="126836"/>
        <n v="84414"/>
        <n v="230000"/>
        <n v="180500"/>
      </sharedItems>
    </cacheField>
    <cacheField name="Stok Awal" numFmtId="0">
      <sharedItems containsSemiMixedTypes="0" containsString="0" containsNumber="1" containsInteger="1" minValue="26" maxValue="205" count="48">
        <n v="148"/>
        <n v="93"/>
        <n v="41"/>
        <n v="160"/>
        <n v="127"/>
        <n v="103"/>
        <n v="179"/>
        <n v="98"/>
        <n v="144"/>
        <n v="120"/>
        <n v="61"/>
        <n v="43"/>
        <n v="37"/>
        <n v="82"/>
        <n v="147"/>
        <n v="89"/>
        <n v="73"/>
        <n v="113"/>
        <n v="130"/>
        <n v="72"/>
        <n v="91"/>
        <n v="187"/>
        <n v="77"/>
        <n v="29"/>
        <n v="153"/>
        <n v="83"/>
        <n v="189"/>
        <n v="106"/>
        <n v="70"/>
        <n v="174"/>
        <n v="124"/>
        <n v="86"/>
        <n v="33"/>
        <n v="26"/>
        <n v="161"/>
        <n v="172"/>
        <n v="178"/>
        <n v="145"/>
        <n v="95"/>
        <n v="110"/>
        <n v="125"/>
        <n v="155"/>
        <n v="100"/>
        <n v="115"/>
        <n v="150"/>
        <n v="135"/>
        <n v="205"/>
        <n v="170"/>
      </sharedItems>
    </cacheField>
    <cacheField name="Stok Akhir" numFmtId="0">
      <sharedItems containsSemiMixedTypes="0" containsString="0" containsNumber="1" containsInteger="1" minValue="11" maxValue="154" count="44">
        <n v="122"/>
        <n v="67"/>
        <n v="28"/>
        <n v="49"/>
        <n v="104"/>
        <n v="20"/>
        <n v="38"/>
        <n v="25"/>
        <n v="129"/>
        <n v="114"/>
        <n v="36"/>
        <n v="15"/>
        <n v="16"/>
        <n v="75"/>
        <n v="58"/>
        <n v="47"/>
        <n v="48"/>
        <n v="93"/>
        <n v="96"/>
        <n v="40"/>
        <n v="57"/>
        <n v="62"/>
        <n v="13"/>
        <n v="11"/>
        <n v="87"/>
        <n v="30"/>
        <n v="89"/>
        <n v="34"/>
        <n v="14"/>
        <n v="37"/>
        <n v="154"/>
        <n v="56"/>
        <n v="79"/>
        <n v="18"/>
        <n v="17"/>
        <n v="128"/>
        <n v="45"/>
        <n v="95"/>
        <n v="55"/>
        <n v="80"/>
        <n v="65"/>
        <n v="105"/>
        <n v="70"/>
        <n v="85"/>
      </sharedItems>
    </cacheField>
    <cacheField name="Jumlah Terjual" numFmtId="0">
      <sharedItems containsSemiMixedTypes="0" containsString="0" containsNumber="1" containsInteger="1" minValue="6" maxValue="141" count="40">
        <n v="26"/>
        <n v="13"/>
        <n v="111"/>
        <n v="23"/>
        <n v="83"/>
        <n v="141"/>
        <n v="73"/>
        <n v="15"/>
        <n v="6"/>
        <n v="25"/>
        <n v="28"/>
        <n v="21"/>
        <n v="7"/>
        <n v="89"/>
        <n v="42"/>
        <n v="20"/>
        <n v="34"/>
        <n v="51"/>
        <n v="130"/>
        <n v="49"/>
        <n v="117"/>
        <n v="30"/>
        <n v="18"/>
        <n v="66"/>
        <n v="53"/>
        <n v="100"/>
        <n v="86"/>
        <n v="47"/>
        <n v="69"/>
        <n v="36"/>
        <n v="68"/>
        <n v="41"/>
        <n v="9"/>
        <n v="33"/>
        <n v="127"/>
        <n v="82"/>
        <n v="50"/>
        <n v="40"/>
        <n v="80"/>
        <n v="45"/>
      </sharedItems>
    </cacheField>
    <cacheField name="Tanggal Terjual" numFmtId="164">
      <sharedItems containsSemiMixedTypes="0" containsNonDate="0" containsDate="1" containsString="0" minDate="2025-01-03T00:00:00" maxDate="2025-10-09T00:00:00" count="47">
        <d v="2025-06-09T00:00:00"/>
        <d v="2025-04-01T00:00:00"/>
        <d v="2025-08-25T00:00:00"/>
        <d v="2025-01-23T00:00:00"/>
        <d v="2025-05-29T00:00:00"/>
        <d v="2025-10-08T00:00:00"/>
        <d v="2025-01-03T00:00:00"/>
        <d v="2025-01-27T00:00:00"/>
        <d v="2025-05-05T00:00:00"/>
        <d v="2025-01-08T00:00:00"/>
        <d v="2025-03-21T00:00:00"/>
        <d v="2025-01-09T00:00:00"/>
        <d v="2025-09-11T00:00:00"/>
        <d v="2025-06-01T00:00:00"/>
        <d v="2025-06-10T00:00:00"/>
        <d v="2025-04-07T00:00:00"/>
        <d v="2025-02-14T00:00:00"/>
        <d v="2025-07-23T00:00:00"/>
        <d v="2025-04-04T00:00:00"/>
        <d v="2025-01-11T00:00:00"/>
        <d v="2025-01-07T00:00:00"/>
        <d v="2025-03-10T00:00:00"/>
        <d v="2025-03-22T00:00:00"/>
        <d v="2025-07-07T00:00:00"/>
        <d v="2025-08-15T00:00:00"/>
        <d v="2025-09-20T00:00:00"/>
        <d v="2025-08-06T00:00:00"/>
        <d v="2025-05-12T00:00:00"/>
        <d v="2025-04-26T00:00:00"/>
        <d v="2025-08-07T00:00:00"/>
        <d v="2025-02-18T00:00:00"/>
        <d v="2025-05-20T00:00:00"/>
        <d v="2025-08-09T00:00:00"/>
        <d v="2025-05-03T00:00:00"/>
        <d v="2025-05-14T00:00:00"/>
        <d v="2025-10-01T00:00:00"/>
        <d v="2025-09-12T00:00:00"/>
        <d v="2025-03-09T00:00:00"/>
        <d v="2025-02-27T00:00:00"/>
        <d v="2025-01-19T00:00:00"/>
        <d v="2025-01-22T00:00:00"/>
        <d v="2025-07-05T00:00:00"/>
        <d v="2025-05-15T00:00:00"/>
        <d v="2025-02-01T00:00:00"/>
        <d v="2025-08-05T00:00:00"/>
        <d v="2025-09-10T00:00:00"/>
        <d v="2025-04-15T00:00:00"/>
      </sharedItems>
    </cacheField>
    <cacheField name="Brand" numFmtId="0">
      <sharedItems count="22">
        <s v="GrandSeater"/>
        <s v="SeatLite"/>
        <s v="ComfyPro"/>
        <s v="CabinetPro"/>
        <s v="Wardrova"/>
        <s v="Storika"/>
        <s v="MaxiStor"/>
        <s v="DeskPrime"/>
        <s v="Tablex"/>
        <s v="MegaDesk"/>
        <s v="TitanRack"/>
        <s v="Rackify"/>
        <s v="HoldMax"/>
        <s v="CozyLounge"/>
        <s v="GrandLuxe"/>
        <s v="SoftNest"/>
        <s v="SleepEZ"/>
        <s v="DreamRest"/>
        <s v="NightComfort"/>
        <s v="RoyalSleep"/>
        <s v="LuxChair"/>
        <s v="WorkBase"/>
      </sharedItems>
    </cacheField>
    <cacheField name="HPP" numFmtId="0">
      <sharedItems containsSemiMixedTypes="0" containsString="0" containsNumber="1" minValue="59089.799999999996" maxValue="197061.19999999998" count="22">
        <n v="182861.69999999998"/>
        <n v="79030.7"/>
        <n v="141855"/>
        <n v="118584.9"/>
        <n v="94527.299999999988"/>
        <n v="114396.79999999999"/>
        <n v="128438.79999999999"/>
        <n v="90254.5"/>
        <n v="147644.69999999998"/>
        <n v="97521.9"/>
        <n v="197061.19999999998"/>
        <n v="153744.5"/>
        <n v="123062.79999999999"/>
        <n v="101077.9"/>
        <n v="163899.4"/>
        <n v="72346.399999999994"/>
        <n v="115482.49999999999"/>
        <n v="157221.4"/>
        <n v="88785.2"/>
        <n v="59089.799999999996"/>
        <n v="161000"/>
        <n v="126349.99999999999"/>
      </sharedItems>
    </cacheField>
    <cacheField name="Profit Per Item" numFmtId="0">
      <sharedItems containsSemiMixedTypes="0" containsString="0" containsNumber="1" minValue="25324.200000000004" maxValue="84454.800000000017" count="22">
        <n v="78369.300000000017"/>
        <n v="33870.300000000003"/>
        <n v="60795"/>
        <n v="50822.100000000006"/>
        <n v="40511.700000000012"/>
        <n v="49027.200000000012"/>
        <n v="55045.200000000012"/>
        <n v="38680.5"/>
        <n v="63276.300000000017"/>
        <n v="41795.100000000006"/>
        <n v="84454.800000000017"/>
        <n v="65890.5"/>
        <n v="52741.200000000012"/>
        <n v="43319.100000000006"/>
        <n v="70242.600000000006"/>
        <n v="31005.600000000006"/>
        <n v="49492.500000000015"/>
        <n v="67380.600000000006"/>
        <n v="38050.800000000003"/>
        <n v="25324.200000000004"/>
        <n v="69000"/>
        <n v="54150.000000000015"/>
      </sharedItems>
    </cacheField>
    <cacheField name="Total Profit" numFmtId="0">
      <sharedItems containsSemiMixedTypes="0" containsString="0" containsNumber="1" minValue="217039.20000000004" maxValue="9881211.6000000015" count="51">
        <n v="2037601.8000000005"/>
        <n v="440313.9"/>
        <n v="6748245"/>
        <n v="1802493.9000000004"/>
        <n v="2811234.9000000004"/>
        <n v="7165916.1000000006"/>
        <n v="2957354.100000001"/>
        <n v="735408.00000000023"/>
        <n v="304932.60000000003"/>
        <n v="1376130.0000000002"/>
        <n v="1541265.6000000003"/>
        <n v="812290.5"/>
        <n v="442934.10000000009"/>
        <n v="3442564.5"/>
        <n v="2657604.6000000006"/>
        <n v="1581907.5000000005"/>
        <n v="773610"/>
        <n v="1421033.4000000001"/>
        <n v="2871463.2000000007"/>
        <n v="3360415.5"/>
        <n v="6856356.0000000019"/>
        <n v="4138285.2000000007"/>
        <n v="9881211.6000000015"/>
        <n v="1976715"/>
        <n v="1186029"/>
        <n v="2859060.6000000006"/>
        <n v="3722857.8000000003"/>
        <n v="7024260.0000000009"/>
        <n v="6040863.6000000006"/>
        <n v="1457263.2000000002"/>
        <n v="4846739.4000000004"/>
        <n v="2528733.6"/>
        <n v="620112.00000000012"/>
        <n v="4776496.8000000007"/>
        <n v="217039.20000000004"/>
        <n v="742387.50000000023"/>
        <n v="2762604.6"/>
        <n v="342457.2"/>
        <n v="2223559.8000000003"/>
        <n v="3216173.4000000004"/>
        <n v="4058385.0000000014"/>
        <n v="3369030.0000000005"/>
        <n v="1354812"/>
        <n v="6269544.0000000019"/>
        <n v="3105000"/>
        <n v="2541105.0000000005"/>
        <n v="2752260.0000000005"/>
        <n v="1215351.0000000005"/>
        <n v="2436750.0000000005"/>
        <n v="3343608.0000000005"/>
        <n v="2637060.0000000005"/>
      </sharedItems>
    </cacheField>
  </cacheFields>
  <extLst>
    <ext xmlns:x14="http://schemas.microsoft.com/office/spreadsheetml/2009/9/main" uri="{725AE2AE-9491-48be-B2B4-4EB974FC3084}">
      <x14:pivotCacheDefinition pivotCacheId="722108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n v="261231"/>
    <n v="148"/>
    <n v="122"/>
    <x v="0"/>
    <x v="0"/>
    <x v="0"/>
    <n v="182861.69999999998"/>
    <n v="78369.300000000017"/>
    <n v="2037601.8000000005"/>
  </r>
  <r>
    <x v="0"/>
    <x v="0"/>
    <n v="261231"/>
    <n v="93"/>
    <n v="67"/>
    <x v="0"/>
    <x v="1"/>
    <x v="0"/>
    <n v="182861.69999999998"/>
    <n v="78369.300000000017"/>
    <n v="2037601.8000000005"/>
  </r>
  <r>
    <x v="0"/>
    <x v="1"/>
    <n v="112901"/>
    <n v="41"/>
    <n v="28"/>
    <x v="1"/>
    <x v="2"/>
    <x v="1"/>
    <n v="79030.7"/>
    <n v="33870.300000000003"/>
    <n v="440313.9"/>
  </r>
  <r>
    <x v="0"/>
    <x v="2"/>
    <n v="202650"/>
    <n v="160"/>
    <n v="49"/>
    <x v="2"/>
    <x v="3"/>
    <x v="2"/>
    <n v="141855"/>
    <n v="60795"/>
    <n v="6748245"/>
  </r>
  <r>
    <x v="0"/>
    <x v="0"/>
    <n v="261231"/>
    <n v="127"/>
    <n v="104"/>
    <x v="3"/>
    <x v="4"/>
    <x v="0"/>
    <n v="182861.69999999998"/>
    <n v="78369.300000000017"/>
    <n v="1802493.9000000004"/>
  </r>
  <r>
    <x v="0"/>
    <x v="1"/>
    <n v="112901"/>
    <n v="103"/>
    <n v="20"/>
    <x v="4"/>
    <x v="5"/>
    <x v="1"/>
    <n v="79030.7"/>
    <n v="33870.300000000003"/>
    <n v="2811234.9000000004"/>
  </r>
  <r>
    <x v="1"/>
    <x v="2"/>
    <n v="169407"/>
    <n v="179"/>
    <n v="38"/>
    <x v="5"/>
    <x v="6"/>
    <x v="3"/>
    <n v="118584.9"/>
    <n v="50822.100000000006"/>
    <n v="7165916.1000000006"/>
  </r>
  <r>
    <x v="1"/>
    <x v="3"/>
    <n v="135039"/>
    <n v="98"/>
    <n v="25"/>
    <x v="6"/>
    <x v="7"/>
    <x v="4"/>
    <n v="94527.299999999988"/>
    <n v="40511.700000000012"/>
    <n v="2957354.100000001"/>
  </r>
  <r>
    <x v="1"/>
    <x v="1"/>
    <n v="163424"/>
    <n v="144"/>
    <n v="129"/>
    <x v="7"/>
    <x v="8"/>
    <x v="5"/>
    <n v="114396.79999999999"/>
    <n v="49027.200000000012"/>
    <n v="735408.00000000023"/>
  </r>
  <r>
    <x v="1"/>
    <x v="2"/>
    <n v="169407"/>
    <n v="120"/>
    <n v="114"/>
    <x v="8"/>
    <x v="9"/>
    <x v="3"/>
    <n v="118584.9"/>
    <n v="50822.100000000006"/>
    <n v="304932.60000000003"/>
  </r>
  <r>
    <x v="1"/>
    <x v="0"/>
    <n v="183484"/>
    <n v="61"/>
    <n v="36"/>
    <x v="9"/>
    <x v="10"/>
    <x v="6"/>
    <n v="128438.79999999999"/>
    <n v="55045.200000000012"/>
    <n v="1376130.0000000002"/>
  </r>
  <r>
    <x v="1"/>
    <x v="0"/>
    <n v="183484"/>
    <n v="43"/>
    <n v="15"/>
    <x v="10"/>
    <x v="11"/>
    <x v="6"/>
    <n v="128438.79999999999"/>
    <n v="55045.200000000012"/>
    <n v="1541265.6000000003"/>
  </r>
  <r>
    <x v="2"/>
    <x v="3"/>
    <n v="128935"/>
    <n v="37"/>
    <n v="16"/>
    <x v="11"/>
    <x v="12"/>
    <x v="7"/>
    <n v="90254.5"/>
    <n v="38680.5"/>
    <n v="812290.5"/>
  </r>
  <r>
    <x v="2"/>
    <x v="1"/>
    <n v="210921"/>
    <n v="82"/>
    <n v="75"/>
    <x v="12"/>
    <x v="13"/>
    <x v="8"/>
    <n v="147644.69999999998"/>
    <n v="63276.300000000017"/>
    <n v="442934.10000000009"/>
  </r>
  <r>
    <x v="2"/>
    <x v="3"/>
    <n v="128935"/>
    <n v="147"/>
    <n v="58"/>
    <x v="13"/>
    <x v="14"/>
    <x v="7"/>
    <n v="90254.5"/>
    <n v="38680.5"/>
    <n v="3442564.5"/>
  </r>
  <r>
    <x v="2"/>
    <x v="1"/>
    <n v="210921"/>
    <n v="89"/>
    <n v="47"/>
    <x v="14"/>
    <x v="15"/>
    <x v="8"/>
    <n v="147644.69999999998"/>
    <n v="63276.300000000017"/>
    <n v="2657604.6000000006"/>
  </r>
  <r>
    <x v="2"/>
    <x v="1"/>
    <n v="210921"/>
    <n v="73"/>
    <n v="48"/>
    <x v="9"/>
    <x v="16"/>
    <x v="8"/>
    <n v="147644.69999999998"/>
    <n v="63276.300000000017"/>
    <n v="1581907.5000000005"/>
  </r>
  <r>
    <x v="2"/>
    <x v="3"/>
    <n v="128935"/>
    <n v="113"/>
    <n v="93"/>
    <x v="15"/>
    <x v="17"/>
    <x v="7"/>
    <n v="90254.5"/>
    <n v="38680.5"/>
    <n v="773610"/>
  </r>
  <r>
    <x v="2"/>
    <x v="0"/>
    <n v="139317"/>
    <n v="130"/>
    <n v="96"/>
    <x v="16"/>
    <x v="18"/>
    <x v="9"/>
    <n v="97521.9"/>
    <n v="41795.100000000006"/>
    <n v="1421033.4000000001"/>
  </r>
  <r>
    <x v="3"/>
    <x v="0"/>
    <n v="281516"/>
    <n v="72"/>
    <n v="38"/>
    <x v="16"/>
    <x v="19"/>
    <x v="10"/>
    <n v="197061.19999999998"/>
    <n v="84454.800000000017"/>
    <n v="2871463.2000000007"/>
  </r>
  <r>
    <x v="3"/>
    <x v="1"/>
    <n v="219635"/>
    <n v="91"/>
    <n v="40"/>
    <x v="17"/>
    <x v="20"/>
    <x v="11"/>
    <n v="153744.5"/>
    <n v="65890.5"/>
    <n v="3360415.5"/>
  </r>
  <r>
    <x v="3"/>
    <x v="2"/>
    <n v="175804"/>
    <n v="187"/>
    <n v="57"/>
    <x v="18"/>
    <x v="21"/>
    <x v="12"/>
    <n v="123062.79999999999"/>
    <n v="52741.200000000012"/>
    <n v="6856356.0000000019"/>
  </r>
  <r>
    <x v="3"/>
    <x v="0"/>
    <n v="281516"/>
    <n v="77"/>
    <n v="28"/>
    <x v="19"/>
    <x v="22"/>
    <x v="10"/>
    <n v="197061.19999999998"/>
    <n v="84454.800000000017"/>
    <n v="4138285.2000000007"/>
  </r>
  <r>
    <x v="3"/>
    <x v="0"/>
    <n v="281516"/>
    <n v="179"/>
    <n v="62"/>
    <x v="20"/>
    <x v="23"/>
    <x v="10"/>
    <n v="197061.19999999998"/>
    <n v="84454.800000000017"/>
    <n v="9881211.6000000015"/>
  </r>
  <r>
    <x v="3"/>
    <x v="1"/>
    <n v="219635"/>
    <n v="43"/>
    <n v="13"/>
    <x v="21"/>
    <x v="24"/>
    <x v="11"/>
    <n v="153744.5"/>
    <n v="65890.5"/>
    <n v="1976715"/>
  </r>
  <r>
    <x v="3"/>
    <x v="1"/>
    <n v="219635"/>
    <n v="29"/>
    <n v="11"/>
    <x v="22"/>
    <x v="25"/>
    <x v="11"/>
    <n v="153744.5"/>
    <n v="65890.5"/>
    <n v="1186029"/>
  </r>
  <r>
    <x v="4"/>
    <x v="3"/>
    <n v="144397"/>
    <n v="153"/>
    <n v="87"/>
    <x v="23"/>
    <x v="26"/>
    <x v="13"/>
    <n v="101077.9"/>
    <n v="43319.100000000006"/>
    <n v="2859060.6000000006"/>
  </r>
  <r>
    <x v="4"/>
    <x v="0"/>
    <n v="234142"/>
    <n v="83"/>
    <n v="30"/>
    <x v="24"/>
    <x v="27"/>
    <x v="14"/>
    <n v="163899.4"/>
    <n v="70242.600000000006"/>
    <n v="3722857.8000000003"/>
  </r>
  <r>
    <x v="4"/>
    <x v="0"/>
    <n v="234142"/>
    <n v="189"/>
    <n v="89"/>
    <x v="25"/>
    <x v="28"/>
    <x v="14"/>
    <n v="163899.4"/>
    <n v="70242.600000000006"/>
    <n v="7024260.0000000009"/>
  </r>
  <r>
    <x v="4"/>
    <x v="0"/>
    <n v="234142"/>
    <n v="120"/>
    <n v="34"/>
    <x v="26"/>
    <x v="29"/>
    <x v="14"/>
    <n v="163899.4"/>
    <n v="70242.600000000006"/>
    <n v="6040863.6000000006"/>
  </r>
  <r>
    <x v="4"/>
    <x v="1"/>
    <n v="103352"/>
    <n v="61"/>
    <n v="14"/>
    <x v="27"/>
    <x v="30"/>
    <x v="15"/>
    <n v="72346.399999999994"/>
    <n v="31005.600000000006"/>
    <n v="1457263.2000000002"/>
  </r>
  <r>
    <x v="4"/>
    <x v="0"/>
    <n v="234142"/>
    <n v="106"/>
    <n v="37"/>
    <x v="28"/>
    <x v="31"/>
    <x v="14"/>
    <n v="163899.4"/>
    <n v="70242.600000000006"/>
    <n v="4846739.4000000004"/>
  </r>
  <r>
    <x v="4"/>
    <x v="0"/>
    <n v="234142"/>
    <n v="70"/>
    <n v="34"/>
    <x v="29"/>
    <x v="32"/>
    <x v="14"/>
    <n v="163899.4"/>
    <n v="70242.600000000006"/>
    <n v="2528733.6"/>
  </r>
  <r>
    <x v="4"/>
    <x v="1"/>
    <n v="103352"/>
    <n v="174"/>
    <n v="154"/>
    <x v="15"/>
    <x v="33"/>
    <x v="15"/>
    <n v="72346.399999999994"/>
    <n v="31005.600000000006"/>
    <n v="620112.00000000012"/>
  </r>
  <r>
    <x v="4"/>
    <x v="0"/>
    <n v="234142"/>
    <n v="124"/>
    <n v="56"/>
    <x v="30"/>
    <x v="34"/>
    <x v="14"/>
    <n v="163899.4"/>
    <n v="70242.600000000006"/>
    <n v="4776496.8000000007"/>
  </r>
  <r>
    <x v="4"/>
    <x v="1"/>
    <n v="103352"/>
    <n v="86"/>
    <n v="79"/>
    <x v="12"/>
    <x v="35"/>
    <x v="15"/>
    <n v="72346.399999999994"/>
    <n v="31005.600000000006"/>
    <n v="217039.20000000004"/>
  </r>
  <r>
    <x v="5"/>
    <x v="1"/>
    <n v="164975"/>
    <n v="33"/>
    <n v="18"/>
    <x v="7"/>
    <x v="36"/>
    <x v="16"/>
    <n v="115482.49999999999"/>
    <n v="49492.500000000015"/>
    <n v="742387.50000000023"/>
  </r>
  <r>
    <x v="5"/>
    <x v="2"/>
    <n v="224602"/>
    <n v="103"/>
    <n v="62"/>
    <x v="31"/>
    <x v="37"/>
    <x v="17"/>
    <n v="157221.4"/>
    <n v="67380.600000000006"/>
    <n v="2762604.6"/>
  </r>
  <r>
    <x v="5"/>
    <x v="3"/>
    <n v="126836"/>
    <n v="26"/>
    <n v="17"/>
    <x v="32"/>
    <x v="38"/>
    <x v="18"/>
    <n v="88785.2"/>
    <n v="38050.800000000003"/>
    <n v="342457.2"/>
  </r>
  <r>
    <x v="5"/>
    <x v="2"/>
    <n v="224602"/>
    <n v="161"/>
    <n v="128"/>
    <x v="33"/>
    <x v="17"/>
    <x v="17"/>
    <n v="157221.4"/>
    <n v="67380.600000000006"/>
    <n v="2223559.8000000003"/>
  </r>
  <r>
    <x v="5"/>
    <x v="0"/>
    <n v="84414"/>
    <n v="172"/>
    <n v="45"/>
    <x v="34"/>
    <x v="39"/>
    <x v="19"/>
    <n v="59089.799999999996"/>
    <n v="25324.200000000004"/>
    <n v="3216173.4000000004"/>
  </r>
  <r>
    <x v="5"/>
    <x v="1"/>
    <n v="164975"/>
    <n v="178"/>
    <n v="96"/>
    <x v="35"/>
    <x v="40"/>
    <x v="16"/>
    <n v="115482.49999999999"/>
    <n v="49492.500000000015"/>
    <n v="4058385.0000000014"/>
  </r>
  <r>
    <x v="0"/>
    <x v="0"/>
    <n v="261231"/>
    <n v="148"/>
    <n v="122"/>
    <x v="0"/>
    <x v="0"/>
    <x v="0"/>
    <n v="182861.69999999998"/>
    <n v="78369.300000000017"/>
    <n v="2037601.8000000005"/>
  </r>
  <r>
    <x v="0"/>
    <x v="0"/>
    <n v="261231"/>
    <n v="93"/>
    <n v="67"/>
    <x v="0"/>
    <x v="1"/>
    <x v="0"/>
    <n v="182861.69999999998"/>
    <n v="78369.300000000017"/>
    <n v="2037601.8000000005"/>
  </r>
  <r>
    <x v="0"/>
    <x v="1"/>
    <n v="112901"/>
    <n v="41"/>
    <n v="28"/>
    <x v="1"/>
    <x v="2"/>
    <x v="1"/>
    <n v="79030.7"/>
    <n v="33870.300000000003"/>
    <n v="440313.9"/>
  </r>
  <r>
    <x v="0"/>
    <x v="2"/>
    <n v="202650"/>
    <n v="160"/>
    <n v="49"/>
    <x v="2"/>
    <x v="3"/>
    <x v="2"/>
    <n v="141855"/>
    <n v="60795"/>
    <n v="6748245"/>
  </r>
  <r>
    <x v="0"/>
    <x v="0"/>
    <n v="261231"/>
    <n v="127"/>
    <n v="104"/>
    <x v="3"/>
    <x v="4"/>
    <x v="0"/>
    <n v="182861.69999999998"/>
    <n v="78369.300000000017"/>
    <n v="1802493.9000000004"/>
  </r>
  <r>
    <x v="0"/>
    <x v="1"/>
    <n v="112901"/>
    <n v="103"/>
    <n v="20"/>
    <x v="4"/>
    <x v="5"/>
    <x v="1"/>
    <n v="79030.7"/>
    <n v="33870.300000000003"/>
    <n v="2811234.9000000004"/>
  </r>
  <r>
    <x v="1"/>
    <x v="2"/>
    <n v="169407"/>
    <n v="179"/>
    <n v="38"/>
    <x v="5"/>
    <x v="6"/>
    <x v="3"/>
    <n v="118584.9"/>
    <n v="50822.100000000006"/>
    <n v="7165916.1000000006"/>
  </r>
  <r>
    <x v="1"/>
    <x v="3"/>
    <n v="135039"/>
    <n v="98"/>
    <n v="25"/>
    <x v="6"/>
    <x v="7"/>
    <x v="4"/>
    <n v="94527.299999999988"/>
    <n v="40511.700000000012"/>
    <n v="2957354.100000001"/>
  </r>
  <r>
    <x v="1"/>
    <x v="1"/>
    <n v="163424"/>
    <n v="144"/>
    <n v="129"/>
    <x v="7"/>
    <x v="8"/>
    <x v="5"/>
    <n v="114396.79999999999"/>
    <n v="49027.200000000012"/>
    <n v="735408.00000000023"/>
  </r>
  <r>
    <x v="1"/>
    <x v="2"/>
    <n v="169407"/>
    <n v="120"/>
    <n v="114"/>
    <x v="8"/>
    <x v="9"/>
    <x v="3"/>
    <n v="118584.9"/>
    <n v="50822.100000000006"/>
    <n v="304932.60000000003"/>
  </r>
  <r>
    <x v="1"/>
    <x v="0"/>
    <n v="183484"/>
    <n v="61"/>
    <n v="36"/>
    <x v="9"/>
    <x v="10"/>
    <x v="6"/>
    <n v="128438.79999999999"/>
    <n v="55045.200000000012"/>
    <n v="1376130.0000000002"/>
  </r>
  <r>
    <x v="1"/>
    <x v="0"/>
    <n v="183484"/>
    <n v="43"/>
    <n v="15"/>
    <x v="10"/>
    <x v="11"/>
    <x v="6"/>
    <n v="128438.79999999999"/>
    <n v="55045.200000000012"/>
    <n v="1541265.6000000003"/>
  </r>
  <r>
    <x v="2"/>
    <x v="3"/>
    <n v="128935"/>
    <n v="37"/>
    <n v="16"/>
    <x v="11"/>
    <x v="12"/>
    <x v="7"/>
    <n v="90254.5"/>
    <n v="38680.5"/>
    <n v="812290.5"/>
  </r>
  <r>
    <x v="2"/>
    <x v="1"/>
    <n v="210921"/>
    <n v="82"/>
    <n v="75"/>
    <x v="12"/>
    <x v="13"/>
    <x v="8"/>
    <n v="147644.69999999998"/>
    <n v="63276.300000000017"/>
    <n v="442934.10000000009"/>
  </r>
  <r>
    <x v="2"/>
    <x v="3"/>
    <n v="128935"/>
    <n v="147"/>
    <n v="58"/>
    <x v="13"/>
    <x v="14"/>
    <x v="7"/>
    <n v="90254.5"/>
    <n v="38680.5"/>
    <n v="3442564.5"/>
  </r>
  <r>
    <x v="2"/>
    <x v="1"/>
    <n v="210921"/>
    <n v="89"/>
    <n v="47"/>
    <x v="14"/>
    <x v="15"/>
    <x v="8"/>
    <n v="147644.69999999998"/>
    <n v="63276.300000000017"/>
    <n v="2657604.6000000006"/>
  </r>
  <r>
    <x v="2"/>
    <x v="1"/>
    <n v="210921"/>
    <n v="73"/>
    <n v="48"/>
    <x v="9"/>
    <x v="16"/>
    <x v="8"/>
    <n v="147644.69999999998"/>
    <n v="63276.300000000017"/>
    <n v="1581907.5000000005"/>
  </r>
  <r>
    <x v="2"/>
    <x v="3"/>
    <n v="128935"/>
    <n v="113"/>
    <n v="93"/>
    <x v="15"/>
    <x v="17"/>
    <x v="7"/>
    <n v="90254.5"/>
    <n v="38680.5"/>
    <n v="773610"/>
  </r>
  <r>
    <x v="2"/>
    <x v="0"/>
    <n v="139317"/>
    <n v="130"/>
    <n v="96"/>
    <x v="16"/>
    <x v="18"/>
    <x v="9"/>
    <n v="97521.9"/>
    <n v="41795.100000000006"/>
    <n v="1421033.4000000001"/>
  </r>
  <r>
    <x v="3"/>
    <x v="0"/>
    <n v="281516"/>
    <n v="72"/>
    <n v="38"/>
    <x v="16"/>
    <x v="19"/>
    <x v="10"/>
    <n v="197061.19999999998"/>
    <n v="84454.800000000017"/>
    <n v="2871463.2000000007"/>
  </r>
  <r>
    <x v="3"/>
    <x v="1"/>
    <n v="219635"/>
    <n v="91"/>
    <n v="40"/>
    <x v="17"/>
    <x v="20"/>
    <x v="11"/>
    <n v="153744.5"/>
    <n v="65890.5"/>
    <n v="3360415.5"/>
  </r>
  <r>
    <x v="3"/>
    <x v="2"/>
    <n v="175804"/>
    <n v="187"/>
    <n v="57"/>
    <x v="18"/>
    <x v="21"/>
    <x v="12"/>
    <n v="123062.79999999999"/>
    <n v="52741.200000000012"/>
    <n v="6856356.0000000019"/>
  </r>
  <r>
    <x v="3"/>
    <x v="0"/>
    <n v="281516"/>
    <n v="77"/>
    <n v="28"/>
    <x v="19"/>
    <x v="22"/>
    <x v="10"/>
    <n v="197061.19999999998"/>
    <n v="84454.800000000017"/>
    <n v="4138285.2000000007"/>
  </r>
  <r>
    <x v="3"/>
    <x v="0"/>
    <n v="281516"/>
    <n v="179"/>
    <n v="62"/>
    <x v="20"/>
    <x v="23"/>
    <x v="10"/>
    <n v="197061.19999999998"/>
    <n v="84454.800000000017"/>
    <n v="9881211.6000000015"/>
  </r>
  <r>
    <x v="3"/>
    <x v="1"/>
    <n v="219635"/>
    <n v="43"/>
    <n v="13"/>
    <x v="21"/>
    <x v="24"/>
    <x v="11"/>
    <n v="153744.5"/>
    <n v="65890.5"/>
    <n v="1976715"/>
  </r>
  <r>
    <x v="3"/>
    <x v="1"/>
    <n v="219635"/>
    <n v="29"/>
    <n v="11"/>
    <x v="22"/>
    <x v="25"/>
    <x v="11"/>
    <n v="153744.5"/>
    <n v="65890.5"/>
    <n v="1186029"/>
  </r>
  <r>
    <x v="4"/>
    <x v="3"/>
    <n v="144397"/>
    <n v="153"/>
    <n v="87"/>
    <x v="23"/>
    <x v="26"/>
    <x v="13"/>
    <n v="101077.9"/>
    <n v="43319.100000000006"/>
    <n v="2859060.6000000006"/>
  </r>
  <r>
    <x v="4"/>
    <x v="0"/>
    <n v="234142"/>
    <n v="83"/>
    <n v="30"/>
    <x v="24"/>
    <x v="27"/>
    <x v="14"/>
    <n v="163899.4"/>
    <n v="70242.600000000006"/>
    <n v="3722857.8000000003"/>
  </r>
  <r>
    <x v="4"/>
    <x v="0"/>
    <n v="234142"/>
    <n v="189"/>
    <n v="89"/>
    <x v="25"/>
    <x v="28"/>
    <x v="14"/>
    <n v="163899.4"/>
    <n v="70242.600000000006"/>
    <n v="7024260.0000000009"/>
  </r>
  <r>
    <x v="4"/>
    <x v="0"/>
    <n v="234142"/>
    <n v="120"/>
    <n v="34"/>
    <x v="26"/>
    <x v="29"/>
    <x v="14"/>
    <n v="163899.4"/>
    <n v="70242.600000000006"/>
    <n v="6040863.6000000006"/>
  </r>
  <r>
    <x v="4"/>
    <x v="1"/>
    <n v="103352"/>
    <n v="61"/>
    <n v="14"/>
    <x v="27"/>
    <x v="30"/>
    <x v="15"/>
    <n v="72346.399999999994"/>
    <n v="31005.600000000006"/>
    <n v="1457263.2000000002"/>
  </r>
  <r>
    <x v="4"/>
    <x v="0"/>
    <n v="234142"/>
    <n v="106"/>
    <n v="37"/>
    <x v="28"/>
    <x v="31"/>
    <x v="14"/>
    <n v="163899.4"/>
    <n v="70242.600000000006"/>
    <n v="4846739.4000000004"/>
  </r>
  <r>
    <x v="4"/>
    <x v="0"/>
    <n v="234142"/>
    <n v="70"/>
    <n v="34"/>
    <x v="29"/>
    <x v="32"/>
    <x v="14"/>
    <n v="163899.4"/>
    <n v="70242.600000000006"/>
    <n v="2528733.6"/>
  </r>
  <r>
    <x v="4"/>
    <x v="1"/>
    <n v="103352"/>
    <n v="174"/>
    <n v="154"/>
    <x v="15"/>
    <x v="33"/>
    <x v="15"/>
    <n v="72346.399999999994"/>
    <n v="31005.600000000006"/>
    <n v="620112.00000000012"/>
  </r>
  <r>
    <x v="4"/>
    <x v="0"/>
    <n v="234142"/>
    <n v="124"/>
    <n v="56"/>
    <x v="30"/>
    <x v="34"/>
    <x v="14"/>
    <n v="163899.4"/>
    <n v="70242.600000000006"/>
    <n v="4776496.8000000007"/>
  </r>
  <r>
    <x v="4"/>
    <x v="1"/>
    <n v="103352"/>
    <n v="86"/>
    <n v="79"/>
    <x v="12"/>
    <x v="35"/>
    <x v="15"/>
    <n v="72346.399999999994"/>
    <n v="31005.600000000006"/>
    <n v="217039.20000000004"/>
  </r>
  <r>
    <x v="5"/>
    <x v="1"/>
    <n v="164975"/>
    <n v="33"/>
    <n v="18"/>
    <x v="7"/>
    <x v="36"/>
    <x v="16"/>
    <n v="115482.49999999999"/>
    <n v="49492.500000000015"/>
    <n v="742387.50000000023"/>
  </r>
  <r>
    <x v="5"/>
    <x v="2"/>
    <n v="224602"/>
    <n v="103"/>
    <n v="62"/>
    <x v="31"/>
    <x v="37"/>
    <x v="17"/>
    <n v="157221.4"/>
    <n v="67380.600000000006"/>
    <n v="2762604.6"/>
  </r>
  <r>
    <x v="5"/>
    <x v="3"/>
    <n v="126836"/>
    <n v="26"/>
    <n v="17"/>
    <x v="32"/>
    <x v="38"/>
    <x v="18"/>
    <n v="88785.2"/>
    <n v="38050.800000000003"/>
    <n v="342457.2"/>
  </r>
  <r>
    <x v="5"/>
    <x v="2"/>
    <n v="224602"/>
    <n v="161"/>
    <n v="128"/>
    <x v="33"/>
    <x v="17"/>
    <x v="17"/>
    <n v="157221.4"/>
    <n v="67380.600000000006"/>
    <n v="2223559.8000000003"/>
  </r>
  <r>
    <x v="5"/>
    <x v="0"/>
    <n v="84414"/>
    <n v="172"/>
    <n v="45"/>
    <x v="34"/>
    <x v="39"/>
    <x v="19"/>
    <n v="59089.799999999996"/>
    <n v="25324.200000000004"/>
    <n v="3216173.4000000004"/>
  </r>
  <r>
    <x v="5"/>
    <x v="1"/>
    <n v="164975"/>
    <n v="178"/>
    <n v="96"/>
    <x v="35"/>
    <x v="40"/>
    <x v="16"/>
    <n v="115482.49999999999"/>
    <n v="49492.500000000015"/>
    <n v="4058385.0000000014"/>
  </r>
  <r>
    <x v="5"/>
    <x v="2"/>
    <n v="224602"/>
    <n v="145"/>
    <n v="95"/>
    <x v="36"/>
    <x v="41"/>
    <x v="17"/>
    <n v="157221.4"/>
    <n v="67380.600000000006"/>
    <n v="3369030.0000000005"/>
  </r>
  <r>
    <x v="0"/>
    <x v="1"/>
    <n v="112901"/>
    <n v="95"/>
    <n v="55"/>
    <x v="37"/>
    <x v="2"/>
    <x v="1"/>
    <n v="79030.7"/>
    <n v="33870.300000000003"/>
    <n v="1354812"/>
  </r>
  <r>
    <x v="0"/>
    <x v="0"/>
    <n v="261231"/>
    <n v="160"/>
    <n v="80"/>
    <x v="38"/>
    <x v="1"/>
    <x v="0"/>
    <n v="182861.69999999998"/>
    <n v="78369.300000000017"/>
    <n v="6269544.0000000019"/>
  </r>
  <r>
    <x v="0"/>
    <x v="3"/>
    <n v="230000"/>
    <n v="110"/>
    <n v="65"/>
    <x v="39"/>
    <x v="42"/>
    <x v="20"/>
    <n v="161000"/>
    <n v="69000"/>
    <n v="3105000"/>
  </r>
  <r>
    <x v="1"/>
    <x v="2"/>
    <n v="169407"/>
    <n v="125"/>
    <n v="75"/>
    <x v="36"/>
    <x v="43"/>
    <x v="3"/>
    <n v="118584.9"/>
    <n v="50822.100000000006"/>
    <n v="2541105.0000000005"/>
  </r>
  <r>
    <x v="1"/>
    <x v="0"/>
    <n v="183484"/>
    <n v="155"/>
    <n v="105"/>
    <x v="36"/>
    <x v="21"/>
    <x v="6"/>
    <n v="128438.79999999999"/>
    <n v="55045.200000000012"/>
    <n v="2752260.0000000005"/>
  </r>
  <r>
    <x v="1"/>
    <x v="3"/>
    <n v="135039"/>
    <n v="100"/>
    <n v="70"/>
    <x v="21"/>
    <x v="25"/>
    <x v="4"/>
    <n v="94527.299999999988"/>
    <n v="40511.700000000012"/>
    <n v="1215351.0000000005"/>
  </r>
  <r>
    <x v="2"/>
    <x v="2"/>
    <n v="180500"/>
    <n v="115"/>
    <n v="70"/>
    <x v="39"/>
    <x v="44"/>
    <x v="21"/>
    <n v="126349.99999999999"/>
    <n v="54150.000000000015"/>
    <n v="2436750.0000000005"/>
  </r>
  <r>
    <x v="2"/>
    <x v="0"/>
    <n v="139317"/>
    <n v="150"/>
    <n v="70"/>
    <x v="38"/>
    <x v="13"/>
    <x v="9"/>
    <n v="97521.9"/>
    <n v="41795.100000000006"/>
    <n v="3343608.0000000005"/>
  </r>
  <r>
    <x v="3"/>
    <x v="2"/>
    <n v="175804"/>
    <n v="135"/>
    <n v="85"/>
    <x v="36"/>
    <x v="45"/>
    <x v="12"/>
    <n v="123062.79999999999"/>
    <n v="52741.200000000012"/>
    <n v="2637060.0000000005"/>
  </r>
  <r>
    <x v="4"/>
    <x v="0"/>
    <n v="234142"/>
    <n v="205"/>
    <n v="105"/>
    <x v="25"/>
    <x v="46"/>
    <x v="14"/>
    <n v="163899.4"/>
    <n v="70242.600000000006"/>
    <n v="7024260.0000000009"/>
  </r>
  <r>
    <x v="4"/>
    <x v="0"/>
    <n v="234142"/>
    <n v="70"/>
    <n v="34"/>
    <x v="29"/>
    <x v="32"/>
    <x v="14"/>
    <n v="163899.4"/>
    <n v="70242.600000000006"/>
    <n v="2528733.6"/>
  </r>
  <r>
    <x v="4"/>
    <x v="1"/>
    <n v="103352"/>
    <n v="170"/>
    <n v="154"/>
    <x v="15"/>
    <x v="33"/>
    <x v="15"/>
    <n v="72346.399999999994"/>
    <n v="31005.600000000006"/>
    <n v="620112.00000000012"/>
  </r>
  <r>
    <x v="4"/>
    <x v="0"/>
    <n v="234142"/>
    <n v="150"/>
    <n v="56"/>
    <x v="30"/>
    <x v="34"/>
    <x v="14"/>
    <n v="163899.4"/>
    <n v="70242.600000000006"/>
    <n v="4776496.8000000007"/>
  </r>
  <r>
    <x v="4"/>
    <x v="1"/>
    <n v="103352"/>
    <n v="144"/>
    <n v="154"/>
    <x v="15"/>
    <x v="33"/>
    <x v="15"/>
    <n v="72346.399999999994"/>
    <n v="31005.600000000006"/>
    <n v="620112.000000000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x v="0"/>
    <x v="0"/>
    <x v="0"/>
    <x v="0"/>
    <x v="0"/>
    <x v="0"/>
    <x v="0"/>
  </r>
  <r>
    <x v="0"/>
    <x v="0"/>
    <x v="0"/>
    <x v="1"/>
    <x v="1"/>
    <x v="0"/>
    <x v="1"/>
    <x v="0"/>
    <x v="0"/>
    <x v="0"/>
    <x v="0"/>
  </r>
  <r>
    <x v="0"/>
    <x v="1"/>
    <x v="1"/>
    <x v="2"/>
    <x v="2"/>
    <x v="1"/>
    <x v="2"/>
    <x v="1"/>
    <x v="1"/>
    <x v="1"/>
    <x v="1"/>
  </r>
  <r>
    <x v="0"/>
    <x v="2"/>
    <x v="2"/>
    <x v="3"/>
    <x v="3"/>
    <x v="2"/>
    <x v="3"/>
    <x v="2"/>
    <x v="2"/>
    <x v="2"/>
    <x v="2"/>
  </r>
  <r>
    <x v="0"/>
    <x v="0"/>
    <x v="0"/>
    <x v="4"/>
    <x v="4"/>
    <x v="3"/>
    <x v="4"/>
    <x v="0"/>
    <x v="0"/>
    <x v="0"/>
    <x v="3"/>
  </r>
  <r>
    <x v="0"/>
    <x v="1"/>
    <x v="1"/>
    <x v="5"/>
    <x v="5"/>
    <x v="4"/>
    <x v="5"/>
    <x v="1"/>
    <x v="1"/>
    <x v="1"/>
    <x v="4"/>
  </r>
  <r>
    <x v="1"/>
    <x v="2"/>
    <x v="3"/>
    <x v="6"/>
    <x v="6"/>
    <x v="5"/>
    <x v="6"/>
    <x v="3"/>
    <x v="3"/>
    <x v="3"/>
    <x v="5"/>
  </r>
  <r>
    <x v="1"/>
    <x v="3"/>
    <x v="4"/>
    <x v="7"/>
    <x v="7"/>
    <x v="6"/>
    <x v="7"/>
    <x v="4"/>
    <x v="4"/>
    <x v="4"/>
    <x v="6"/>
  </r>
  <r>
    <x v="1"/>
    <x v="1"/>
    <x v="5"/>
    <x v="8"/>
    <x v="8"/>
    <x v="7"/>
    <x v="8"/>
    <x v="5"/>
    <x v="5"/>
    <x v="5"/>
    <x v="7"/>
  </r>
  <r>
    <x v="1"/>
    <x v="2"/>
    <x v="3"/>
    <x v="9"/>
    <x v="9"/>
    <x v="8"/>
    <x v="9"/>
    <x v="3"/>
    <x v="3"/>
    <x v="3"/>
    <x v="8"/>
  </r>
  <r>
    <x v="1"/>
    <x v="0"/>
    <x v="6"/>
    <x v="10"/>
    <x v="10"/>
    <x v="9"/>
    <x v="10"/>
    <x v="6"/>
    <x v="6"/>
    <x v="6"/>
    <x v="9"/>
  </r>
  <r>
    <x v="1"/>
    <x v="0"/>
    <x v="6"/>
    <x v="11"/>
    <x v="11"/>
    <x v="10"/>
    <x v="11"/>
    <x v="6"/>
    <x v="6"/>
    <x v="6"/>
    <x v="10"/>
  </r>
  <r>
    <x v="2"/>
    <x v="3"/>
    <x v="7"/>
    <x v="12"/>
    <x v="12"/>
    <x v="11"/>
    <x v="12"/>
    <x v="7"/>
    <x v="7"/>
    <x v="7"/>
    <x v="11"/>
  </r>
  <r>
    <x v="2"/>
    <x v="1"/>
    <x v="8"/>
    <x v="13"/>
    <x v="13"/>
    <x v="12"/>
    <x v="13"/>
    <x v="8"/>
    <x v="8"/>
    <x v="8"/>
    <x v="12"/>
  </r>
  <r>
    <x v="2"/>
    <x v="3"/>
    <x v="7"/>
    <x v="14"/>
    <x v="14"/>
    <x v="13"/>
    <x v="14"/>
    <x v="7"/>
    <x v="7"/>
    <x v="7"/>
    <x v="13"/>
  </r>
  <r>
    <x v="2"/>
    <x v="1"/>
    <x v="8"/>
    <x v="15"/>
    <x v="15"/>
    <x v="14"/>
    <x v="15"/>
    <x v="8"/>
    <x v="8"/>
    <x v="8"/>
    <x v="14"/>
  </r>
  <r>
    <x v="2"/>
    <x v="1"/>
    <x v="8"/>
    <x v="16"/>
    <x v="16"/>
    <x v="9"/>
    <x v="16"/>
    <x v="8"/>
    <x v="8"/>
    <x v="8"/>
    <x v="15"/>
  </r>
  <r>
    <x v="2"/>
    <x v="3"/>
    <x v="7"/>
    <x v="17"/>
    <x v="17"/>
    <x v="15"/>
    <x v="17"/>
    <x v="7"/>
    <x v="7"/>
    <x v="7"/>
    <x v="16"/>
  </r>
  <r>
    <x v="2"/>
    <x v="0"/>
    <x v="9"/>
    <x v="18"/>
    <x v="18"/>
    <x v="16"/>
    <x v="18"/>
    <x v="9"/>
    <x v="9"/>
    <x v="9"/>
    <x v="17"/>
  </r>
  <r>
    <x v="3"/>
    <x v="0"/>
    <x v="10"/>
    <x v="19"/>
    <x v="6"/>
    <x v="16"/>
    <x v="19"/>
    <x v="10"/>
    <x v="10"/>
    <x v="10"/>
    <x v="18"/>
  </r>
  <r>
    <x v="3"/>
    <x v="1"/>
    <x v="11"/>
    <x v="20"/>
    <x v="19"/>
    <x v="17"/>
    <x v="20"/>
    <x v="11"/>
    <x v="11"/>
    <x v="11"/>
    <x v="19"/>
  </r>
  <r>
    <x v="3"/>
    <x v="2"/>
    <x v="12"/>
    <x v="21"/>
    <x v="20"/>
    <x v="18"/>
    <x v="21"/>
    <x v="12"/>
    <x v="12"/>
    <x v="12"/>
    <x v="20"/>
  </r>
  <r>
    <x v="3"/>
    <x v="0"/>
    <x v="10"/>
    <x v="22"/>
    <x v="2"/>
    <x v="19"/>
    <x v="22"/>
    <x v="10"/>
    <x v="10"/>
    <x v="10"/>
    <x v="21"/>
  </r>
  <r>
    <x v="3"/>
    <x v="0"/>
    <x v="10"/>
    <x v="6"/>
    <x v="21"/>
    <x v="20"/>
    <x v="23"/>
    <x v="10"/>
    <x v="10"/>
    <x v="10"/>
    <x v="22"/>
  </r>
  <r>
    <x v="3"/>
    <x v="1"/>
    <x v="11"/>
    <x v="11"/>
    <x v="22"/>
    <x v="21"/>
    <x v="24"/>
    <x v="11"/>
    <x v="11"/>
    <x v="11"/>
    <x v="23"/>
  </r>
  <r>
    <x v="3"/>
    <x v="1"/>
    <x v="11"/>
    <x v="23"/>
    <x v="23"/>
    <x v="22"/>
    <x v="25"/>
    <x v="11"/>
    <x v="11"/>
    <x v="11"/>
    <x v="24"/>
  </r>
  <r>
    <x v="4"/>
    <x v="3"/>
    <x v="13"/>
    <x v="24"/>
    <x v="24"/>
    <x v="23"/>
    <x v="26"/>
    <x v="13"/>
    <x v="13"/>
    <x v="13"/>
    <x v="25"/>
  </r>
  <r>
    <x v="4"/>
    <x v="0"/>
    <x v="14"/>
    <x v="25"/>
    <x v="25"/>
    <x v="24"/>
    <x v="27"/>
    <x v="14"/>
    <x v="14"/>
    <x v="14"/>
    <x v="26"/>
  </r>
  <r>
    <x v="4"/>
    <x v="0"/>
    <x v="14"/>
    <x v="26"/>
    <x v="26"/>
    <x v="25"/>
    <x v="28"/>
    <x v="14"/>
    <x v="14"/>
    <x v="14"/>
    <x v="27"/>
  </r>
  <r>
    <x v="4"/>
    <x v="0"/>
    <x v="14"/>
    <x v="9"/>
    <x v="27"/>
    <x v="26"/>
    <x v="29"/>
    <x v="14"/>
    <x v="14"/>
    <x v="14"/>
    <x v="28"/>
  </r>
  <r>
    <x v="4"/>
    <x v="1"/>
    <x v="15"/>
    <x v="10"/>
    <x v="28"/>
    <x v="27"/>
    <x v="30"/>
    <x v="15"/>
    <x v="15"/>
    <x v="15"/>
    <x v="29"/>
  </r>
  <r>
    <x v="4"/>
    <x v="0"/>
    <x v="14"/>
    <x v="27"/>
    <x v="29"/>
    <x v="28"/>
    <x v="31"/>
    <x v="14"/>
    <x v="14"/>
    <x v="14"/>
    <x v="30"/>
  </r>
  <r>
    <x v="4"/>
    <x v="0"/>
    <x v="14"/>
    <x v="28"/>
    <x v="27"/>
    <x v="29"/>
    <x v="32"/>
    <x v="14"/>
    <x v="14"/>
    <x v="14"/>
    <x v="31"/>
  </r>
  <r>
    <x v="4"/>
    <x v="1"/>
    <x v="15"/>
    <x v="29"/>
    <x v="30"/>
    <x v="15"/>
    <x v="33"/>
    <x v="15"/>
    <x v="15"/>
    <x v="15"/>
    <x v="32"/>
  </r>
  <r>
    <x v="4"/>
    <x v="0"/>
    <x v="14"/>
    <x v="30"/>
    <x v="31"/>
    <x v="30"/>
    <x v="34"/>
    <x v="14"/>
    <x v="14"/>
    <x v="14"/>
    <x v="33"/>
  </r>
  <r>
    <x v="4"/>
    <x v="1"/>
    <x v="15"/>
    <x v="31"/>
    <x v="32"/>
    <x v="12"/>
    <x v="35"/>
    <x v="15"/>
    <x v="15"/>
    <x v="15"/>
    <x v="34"/>
  </r>
  <r>
    <x v="5"/>
    <x v="1"/>
    <x v="16"/>
    <x v="32"/>
    <x v="33"/>
    <x v="7"/>
    <x v="36"/>
    <x v="16"/>
    <x v="16"/>
    <x v="16"/>
    <x v="35"/>
  </r>
  <r>
    <x v="5"/>
    <x v="2"/>
    <x v="17"/>
    <x v="5"/>
    <x v="21"/>
    <x v="31"/>
    <x v="37"/>
    <x v="17"/>
    <x v="17"/>
    <x v="17"/>
    <x v="36"/>
  </r>
  <r>
    <x v="5"/>
    <x v="3"/>
    <x v="18"/>
    <x v="33"/>
    <x v="34"/>
    <x v="32"/>
    <x v="38"/>
    <x v="18"/>
    <x v="18"/>
    <x v="18"/>
    <x v="37"/>
  </r>
  <r>
    <x v="5"/>
    <x v="2"/>
    <x v="17"/>
    <x v="34"/>
    <x v="35"/>
    <x v="33"/>
    <x v="17"/>
    <x v="17"/>
    <x v="17"/>
    <x v="17"/>
    <x v="38"/>
  </r>
  <r>
    <x v="5"/>
    <x v="0"/>
    <x v="19"/>
    <x v="35"/>
    <x v="36"/>
    <x v="34"/>
    <x v="39"/>
    <x v="19"/>
    <x v="19"/>
    <x v="19"/>
    <x v="39"/>
  </r>
  <r>
    <x v="5"/>
    <x v="1"/>
    <x v="16"/>
    <x v="36"/>
    <x v="18"/>
    <x v="35"/>
    <x v="40"/>
    <x v="16"/>
    <x v="16"/>
    <x v="16"/>
    <x v="40"/>
  </r>
  <r>
    <x v="0"/>
    <x v="0"/>
    <x v="0"/>
    <x v="0"/>
    <x v="0"/>
    <x v="0"/>
    <x v="0"/>
    <x v="0"/>
    <x v="0"/>
    <x v="0"/>
    <x v="0"/>
  </r>
  <r>
    <x v="0"/>
    <x v="0"/>
    <x v="0"/>
    <x v="1"/>
    <x v="1"/>
    <x v="0"/>
    <x v="1"/>
    <x v="0"/>
    <x v="0"/>
    <x v="0"/>
    <x v="0"/>
  </r>
  <r>
    <x v="0"/>
    <x v="1"/>
    <x v="1"/>
    <x v="2"/>
    <x v="2"/>
    <x v="1"/>
    <x v="2"/>
    <x v="1"/>
    <x v="1"/>
    <x v="1"/>
    <x v="1"/>
  </r>
  <r>
    <x v="0"/>
    <x v="2"/>
    <x v="2"/>
    <x v="3"/>
    <x v="3"/>
    <x v="2"/>
    <x v="3"/>
    <x v="2"/>
    <x v="2"/>
    <x v="2"/>
    <x v="2"/>
  </r>
  <r>
    <x v="0"/>
    <x v="0"/>
    <x v="0"/>
    <x v="4"/>
    <x v="4"/>
    <x v="3"/>
    <x v="4"/>
    <x v="0"/>
    <x v="0"/>
    <x v="0"/>
    <x v="3"/>
  </r>
  <r>
    <x v="0"/>
    <x v="1"/>
    <x v="1"/>
    <x v="5"/>
    <x v="5"/>
    <x v="4"/>
    <x v="5"/>
    <x v="1"/>
    <x v="1"/>
    <x v="1"/>
    <x v="4"/>
  </r>
  <r>
    <x v="1"/>
    <x v="2"/>
    <x v="3"/>
    <x v="6"/>
    <x v="6"/>
    <x v="5"/>
    <x v="6"/>
    <x v="3"/>
    <x v="3"/>
    <x v="3"/>
    <x v="5"/>
  </r>
  <r>
    <x v="1"/>
    <x v="3"/>
    <x v="4"/>
    <x v="7"/>
    <x v="7"/>
    <x v="6"/>
    <x v="7"/>
    <x v="4"/>
    <x v="4"/>
    <x v="4"/>
    <x v="6"/>
  </r>
  <r>
    <x v="1"/>
    <x v="1"/>
    <x v="5"/>
    <x v="8"/>
    <x v="8"/>
    <x v="7"/>
    <x v="8"/>
    <x v="5"/>
    <x v="5"/>
    <x v="5"/>
    <x v="7"/>
  </r>
  <r>
    <x v="1"/>
    <x v="2"/>
    <x v="3"/>
    <x v="9"/>
    <x v="9"/>
    <x v="8"/>
    <x v="9"/>
    <x v="3"/>
    <x v="3"/>
    <x v="3"/>
    <x v="8"/>
  </r>
  <r>
    <x v="1"/>
    <x v="0"/>
    <x v="6"/>
    <x v="10"/>
    <x v="10"/>
    <x v="9"/>
    <x v="10"/>
    <x v="6"/>
    <x v="6"/>
    <x v="6"/>
    <x v="9"/>
  </r>
  <r>
    <x v="1"/>
    <x v="0"/>
    <x v="6"/>
    <x v="11"/>
    <x v="11"/>
    <x v="10"/>
    <x v="11"/>
    <x v="6"/>
    <x v="6"/>
    <x v="6"/>
    <x v="10"/>
  </r>
  <r>
    <x v="2"/>
    <x v="3"/>
    <x v="7"/>
    <x v="12"/>
    <x v="12"/>
    <x v="11"/>
    <x v="12"/>
    <x v="7"/>
    <x v="7"/>
    <x v="7"/>
    <x v="11"/>
  </r>
  <r>
    <x v="2"/>
    <x v="1"/>
    <x v="8"/>
    <x v="13"/>
    <x v="13"/>
    <x v="12"/>
    <x v="13"/>
    <x v="8"/>
    <x v="8"/>
    <x v="8"/>
    <x v="12"/>
  </r>
  <r>
    <x v="2"/>
    <x v="3"/>
    <x v="7"/>
    <x v="14"/>
    <x v="14"/>
    <x v="13"/>
    <x v="14"/>
    <x v="7"/>
    <x v="7"/>
    <x v="7"/>
    <x v="13"/>
  </r>
  <r>
    <x v="2"/>
    <x v="1"/>
    <x v="8"/>
    <x v="15"/>
    <x v="15"/>
    <x v="14"/>
    <x v="15"/>
    <x v="8"/>
    <x v="8"/>
    <x v="8"/>
    <x v="14"/>
  </r>
  <r>
    <x v="2"/>
    <x v="1"/>
    <x v="8"/>
    <x v="16"/>
    <x v="16"/>
    <x v="9"/>
    <x v="16"/>
    <x v="8"/>
    <x v="8"/>
    <x v="8"/>
    <x v="15"/>
  </r>
  <r>
    <x v="2"/>
    <x v="3"/>
    <x v="7"/>
    <x v="17"/>
    <x v="17"/>
    <x v="15"/>
    <x v="17"/>
    <x v="7"/>
    <x v="7"/>
    <x v="7"/>
    <x v="16"/>
  </r>
  <r>
    <x v="2"/>
    <x v="0"/>
    <x v="9"/>
    <x v="18"/>
    <x v="18"/>
    <x v="16"/>
    <x v="18"/>
    <x v="9"/>
    <x v="9"/>
    <x v="9"/>
    <x v="17"/>
  </r>
  <r>
    <x v="3"/>
    <x v="0"/>
    <x v="10"/>
    <x v="19"/>
    <x v="6"/>
    <x v="16"/>
    <x v="19"/>
    <x v="10"/>
    <x v="10"/>
    <x v="10"/>
    <x v="18"/>
  </r>
  <r>
    <x v="3"/>
    <x v="1"/>
    <x v="11"/>
    <x v="20"/>
    <x v="19"/>
    <x v="17"/>
    <x v="20"/>
    <x v="11"/>
    <x v="11"/>
    <x v="11"/>
    <x v="19"/>
  </r>
  <r>
    <x v="3"/>
    <x v="2"/>
    <x v="12"/>
    <x v="21"/>
    <x v="20"/>
    <x v="18"/>
    <x v="21"/>
    <x v="12"/>
    <x v="12"/>
    <x v="12"/>
    <x v="20"/>
  </r>
  <r>
    <x v="3"/>
    <x v="0"/>
    <x v="10"/>
    <x v="22"/>
    <x v="2"/>
    <x v="19"/>
    <x v="22"/>
    <x v="10"/>
    <x v="10"/>
    <x v="10"/>
    <x v="21"/>
  </r>
  <r>
    <x v="3"/>
    <x v="0"/>
    <x v="10"/>
    <x v="6"/>
    <x v="21"/>
    <x v="20"/>
    <x v="23"/>
    <x v="10"/>
    <x v="10"/>
    <x v="10"/>
    <x v="22"/>
  </r>
  <r>
    <x v="3"/>
    <x v="1"/>
    <x v="11"/>
    <x v="11"/>
    <x v="22"/>
    <x v="21"/>
    <x v="24"/>
    <x v="11"/>
    <x v="11"/>
    <x v="11"/>
    <x v="23"/>
  </r>
  <r>
    <x v="3"/>
    <x v="1"/>
    <x v="11"/>
    <x v="23"/>
    <x v="23"/>
    <x v="22"/>
    <x v="25"/>
    <x v="11"/>
    <x v="11"/>
    <x v="11"/>
    <x v="24"/>
  </r>
  <r>
    <x v="4"/>
    <x v="3"/>
    <x v="13"/>
    <x v="24"/>
    <x v="24"/>
    <x v="23"/>
    <x v="26"/>
    <x v="13"/>
    <x v="13"/>
    <x v="13"/>
    <x v="25"/>
  </r>
  <r>
    <x v="4"/>
    <x v="0"/>
    <x v="14"/>
    <x v="25"/>
    <x v="25"/>
    <x v="24"/>
    <x v="27"/>
    <x v="14"/>
    <x v="14"/>
    <x v="14"/>
    <x v="26"/>
  </r>
  <r>
    <x v="4"/>
    <x v="0"/>
    <x v="14"/>
    <x v="26"/>
    <x v="26"/>
    <x v="25"/>
    <x v="28"/>
    <x v="14"/>
    <x v="14"/>
    <x v="14"/>
    <x v="27"/>
  </r>
  <r>
    <x v="4"/>
    <x v="0"/>
    <x v="14"/>
    <x v="9"/>
    <x v="27"/>
    <x v="26"/>
    <x v="29"/>
    <x v="14"/>
    <x v="14"/>
    <x v="14"/>
    <x v="28"/>
  </r>
  <r>
    <x v="4"/>
    <x v="1"/>
    <x v="15"/>
    <x v="10"/>
    <x v="28"/>
    <x v="27"/>
    <x v="30"/>
    <x v="15"/>
    <x v="15"/>
    <x v="15"/>
    <x v="29"/>
  </r>
  <r>
    <x v="4"/>
    <x v="0"/>
    <x v="14"/>
    <x v="27"/>
    <x v="29"/>
    <x v="28"/>
    <x v="31"/>
    <x v="14"/>
    <x v="14"/>
    <x v="14"/>
    <x v="30"/>
  </r>
  <r>
    <x v="4"/>
    <x v="0"/>
    <x v="14"/>
    <x v="28"/>
    <x v="27"/>
    <x v="29"/>
    <x v="32"/>
    <x v="14"/>
    <x v="14"/>
    <x v="14"/>
    <x v="31"/>
  </r>
  <r>
    <x v="4"/>
    <x v="1"/>
    <x v="15"/>
    <x v="29"/>
    <x v="30"/>
    <x v="15"/>
    <x v="33"/>
    <x v="15"/>
    <x v="15"/>
    <x v="15"/>
    <x v="32"/>
  </r>
  <r>
    <x v="4"/>
    <x v="0"/>
    <x v="14"/>
    <x v="30"/>
    <x v="31"/>
    <x v="30"/>
    <x v="34"/>
    <x v="14"/>
    <x v="14"/>
    <x v="14"/>
    <x v="33"/>
  </r>
  <r>
    <x v="4"/>
    <x v="1"/>
    <x v="15"/>
    <x v="31"/>
    <x v="32"/>
    <x v="12"/>
    <x v="35"/>
    <x v="15"/>
    <x v="15"/>
    <x v="15"/>
    <x v="34"/>
  </r>
  <r>
    <x v="5"/>
    <x v="1"/>
    <x v="16"/>
    <x v="32"/>
    <x v="33"/>
    <x v="7"/>
    <x v="36"/>
    <x v="16"/>
    <x v="16"/>
    <x v="16"/>
    <x v="35"/>
  </r>
  <r>
    <x v="5"/>
    <x v="2"/>
    <x v="17"/>
    <x v="5"/>
    <x v="21"/>
    <x v="31"/>
    <x v="37"/>
    <x v="17"/>
    <x v="17"/>
    <x v="17"/>
    <x v="36"/>
  </r>
  <r>
    <x v="5"/>
    <x v="3"/>
    <x v="18"/>
    <x v="33"/>
    <x v="34"/>
    <x v="32"/>
    <x v="38"/>
    <x v="18"/>
    <x v="18"/>
    <x v="18"/>
    <x v="37"/>
  </r>
  <r>
    <x v="5"/>
    <x v="2"/>
    <x v="17"/>
    <x v="34"/>
    <x v="35"/>
    <x v="33"/>
    <x v="17"/>
    <x v="17"/>
    <x v="17"/>
    <x v="17"/>
    <x v="38"/>
  </r>
  <r>
    <x v="5"/>
    <x v="0"/>
    <x v="19"/>
    <x v="35"/>
    <x v="36"/>
    <x v="34"/>
    <x v="39"/>
    <x v="19"/>
    <x v="19"/>
    <x v="19"/>
    <x v="39"/>
  </r>
  <r>
    <x v="5"/>
    <x v="1"/>
    <x v="16"/>
    <x v="36"/>
    <x v="18"/>
    <x v="35"/>
    <x v="40"/>
    <x v="16"/>
    <x v="16"/>
    <x v="16"/>
    <x v="40"/>
  </r>
  <r>
    <x v="5"/>
    <x v="2"/>
    <x v="17"/>
    <x v="37"/>
    <x v="37"/>
    <x v="36"/>
    <x v="41"/>
    <x v="17"/>
    <x v="17"/>
    <x v="17"/>
    <x v="41"/>
  </r>
  <r>
    <x v="0"/>
    <x v="1"/>
    <x v="1"/>
    <x v="38"/>
    <x v="38"/>
    <x v="37"/>
    <x v="2"/>
    <x v="1"/>
    <x v="1"/>
    <x v="1"/>
    <x v="42"/>
  </r>
  <r>
    <x v="0"/>
    <x v="0"/>
    <x v="0"/>
    <x v="3"/>
    <x v="39"/>
    <x v="38"/>
    <x v="1"/>
    <x v="0"/>
    <x v="0"/>
    <x v="0"/>
    <x v="43"/>
  </r>
  <r>
    <x v="0"/>
    <x v="3"/>
    <x v="20"/>
    <x v="39"/>
    <x v="40"/>
    <x v="39"/>
    <x v="42"/>
    <x v="20"/>
    <x v="20"/>
    <x v="20"/>
    <x v="44"/>
  </r>
  <r>
    <x v="1"/>
    <x v="2"/>
    <x v="3"/>
    <x v="40"/>
    <x v="13"/>
    <x v="36"/>
    <x v="43"/>
    <x v="3"/>
    <x v="3"/>
    <x v="3"/>
    <x v="45"/>
  </r>
  <r>
    <x v="1"/>
    <x v="0"/>
    <x v="6"/>
    <x v="41"/>
    <x v="41"/>
    <x v="36"/>
    <x v="21"/>
    <x v="6"/>
    <x v="6"/>
    <x v="6"/>
    <x v="46"/>
  </r>
  <r>
    <x v="1"/>
    <x v="3"/>
    <x v="4"/>
    <x v="42"/>
    <x v="42"/>
    <x v="21"/>
    <x v="25"/>
    <x v="4"/>
    <x v="4"/>
    <x v="4"/>
    <x v="47"/>
  </r>
  <r>
    <x v="2"/>
    <x v="2"/>
    <x v="21"/>
    <x v="43"/>
    <x v="42"/>
    <x v="39"/>
    <x v="44"/>
    <x v="21"/>
    <x v="21"/>
    <x v="21"/>
    <x v="48"/>
  </r>
  <r>
    <x v="2"/>
    <x v="0"/>
    <x v="9"/>
    <x v="44"/>
    <x v="42"/>
    <x v="38"/>
    <x v="13"/>
    <x v="9"/>
    <x v="9"/>
    <x v="9"/>
    <x v="49"/>
  </r>
  <r>
    <x v="3"/>
    <x v="2"/>
    <x v="12"/>
    <x v="45"/>
    <x v="43"/>
    <x v="36"/>
    <x v="45"/>
    <x v="12"/>
    <x v="12"/>
    <x v="12"/>
    <x v="50"/>
  </r>
  <r>
    <x v="4"/>
    <x v="0"/>
    <x v="14"/>
    <x v="46"/>
    <x v="41"/>
    <x v="25"/>
    <x v="46"/>
    <x v="14"/>
    <x v="14"/>
    <x v="14"/>
    <x v="27"/>
  </r>
  <r>
    <x v="4"/>
    <x v="0"/>
    <x v="14"/>
    <x v="28"/>
    <x v="27"/>
    <x v="29"/>
    <x v="32"/>
    <x v="14"/>
    <x v="14"/>
    <x v="14"/>
    <x v="31"/>
  </r>
  <r>
    <x v="4"/>
    <x v="1"/>
    <x v="15"/>
    <x v="47"/>
    <x v="30"/>
    <x v="15"/>
    <x v="33"/>
    <x v="15"/>
    <x v="15"/>
    <x v="15"/>
    <x v="32"/>
  </r>
  <r>
    <x v="4"/>
    <x v="0"/>
    <x v="14"/>
    <x v="44"/>
    <x v="31"/>
    <x v="30"/>
    <x v="34"/>
    <x v="14"/>
    <x v="14"/>
    <x v="14"/>
    <x v="33"/>
  </r>
  <r>
    <x v="4"/>
    <x v="1"/>
    <x v="15"/>
    <x v="8"/>
    <x v="30"/>
    <x v="15"/>
    <x v="33"/>
    <x v="15"/>
    <x v="15"/>
    <x v="15"/>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C5A701-E7E5-401D-BAE9-597BFFFF980C}" name="PivotTable2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I7:J21" firstHeaderRow="1" firstDataRow="1" firstDataCol="1"/>
  <pivotFields count="13">
    <pivotField showAll="0">
      <items count="7">
        <item h="1" x="0"/>
        <item h="1" x="1"/>
        <item h="1" x="2"/>
        <item x="3"/>
        <item h="1" x="4"/>
        <item h="1" x="5"/>
        <item t="default"/>
      </items>
    </pivotField>
    <pivotField showAll="0"/>
    <pivotField showAll="0"/>
    <pivotField showAll="0"/>
    <pivotField showAll="0"/>
    <pivotField dataField="1"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axis="axisRow" showAll="0">
      <items count="23">
        <item x="3"/>
        <item x="2"/>
        <item x="13"/>
        <item x="7"/>
        <item x="17"/>
        <item x="14"/>
        <item x="0"/>
        <item x="12"/>
        <item x="20"/>
        <item x="6"/>
        <item x="9"/>
        <item x="18"/>
        <item x="11"/>
        <item x="19"/>
        <item x="1"/>
        <item x="16"/>
        <item x="15"/>
        <item x="5"/>
        <item x="8"/>
        <item x="10"/>
        <item x="4"/>
        <item x="21"/>
        <item t="default"/>
      </items>
    </pivotField>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2">
    <field x="12"/>
    <field x="7"/>
  </rowFields>
  <rowItems count="14">
    <i>
      <x v="1"/>
    </i>
    <i r="1">
      <x v="12"/>
    </i>
    <i r="1">
      <x v="19"/>
    </i>
    <i>
      <x v="3"/>
    </i>
    <i r="1">
      <x v="7"/>
    </i>
    <i r="1">
      <x v="19"/>
    </i>
    <i>
      <x v="7"/>
    </i>
    <i r="1">
      <x v="19"/>
    </i>
    <i>
      <x v="8"/>
    </i>
    <i r="1">
      <x v="12"/>
    </i>
    <i>
      <x v="9"/>
    </i>
    <i r="1">
      <x v="7"/>
    </i>
    <i r="1">
      <x v="12"/>
    </i>
    <i t="grand">
      <x/>
    </i>
  </rowItems>
  <colItems count="1">
    <i/>
  </colItems>
  <dataFields count="1">
    <dataField name="Sum of Jumlah Terjual" fld="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F428C9-CD49-491F-8991-EEAC571B64AF}" name="PivotTable2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A16:C18" firstHeaderRow="0" firstDataRow="1" firstDataCol="1"/>
  <pivotFields count="13">
    <pivotField axis="axisRow" showAll="0">
      <items count="7">
        <item h="1" sd="0" x="0"/>
        <item h="1" sd="0" x="1"/>
        <item h="1" sd="0" x="2"/>
        <item sd="0" x="3"/>
        <item h="1" sd="0" x="4"/>
        <item h="1" sd="0" x="5"/>
        <item t="default" sd="0"/>
      </items>
    </pivotField>
    <pivotField showAll="0"/>
    <pivotField showAll="0"/>
    <pivotField dataField="1" showAll="0"/>
    <pivotField dataField="1" showAll="0"/>
    <pivotField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axis="axisRow" showAll="0">
      <items count="23">
        <item x="3"/>
        <item x="2"/>
        <item x="13"/>
        <item x="7"/>
        <item x="17"/>
        <item x="14"/>
        <item x="0"/>
        <item x="12"/>
        <item x="20"/>
        <item x="6"/>
        <item x="9"/>
        <item x="18"/>
        <item x="11"/>
        <item x="19"/>
        <item x="1"/>
        <item x="16"/>
        <item x="15"/>
        <item x="5"/>
        <item x="8"/>
        <item x="10"/>
        <item x="4"/>
        <item x="21"/>
        <item t="default"/>
      </items>
    </pivotField>
    <pivotField showAll="0"/>
    <pivotField showAll="0"/>
    <pivotField showAll="0"/>
    <pivotField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x="0"/>
        <item x="1"/>
        <item x="2"/>
        <item x="3"/>
        <item x="4"/>
        <item x="5"/>
        <item x="6"/>
        <item x="7"/>
        <item x="8"/>
        <item x="9"/>
        <item x="10"/>
        <item x="11"/>
        <item x="12"/>
        <item x="13"/>
        <item t="default"/>
      </items>
    </pivotField>
  </pivotFields>
  <rowFields count="2">
    <field x="0"/>
    <field x="7"/>
  </rowFields>
  <rowItems count="2">
    <i>
      <x v="3"/>
    </i>
    <i t="grand">
      <x/>
    </i>
  </rowItems>
  <colFields count="1">
    <field x="-2"/>
  </colFields>
  <colItems count="2">
    <i>
      <x/>
    </i>
    <i i="1">
      <x v="1"/>
    </i>
  </colItems>
  <dataFields count="2">
    <dataField name="Sum of Stok Akhir" fld="4" baseField="0" baseItem="0"/>
    <dataField name="Sum of Stok Awal" fld="3"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D00E00-5B62-4588-B378-8562BE059608}"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Q7:T10" firstHeaderRow="0" firstDataRow="1" firstDataCol="1"/>
  <pivotFields count="11">
    <pivotField axis="axisRow" showAll="0">
      <items count="7">
        <item x="0"/>
        <item x="1"/>
        <item x="2"/>
        <item x="3"/>
        <item x="4"/>
        <item x="5"/>
        <item t="default"/>
      </items>
    </pivotField>
    <pivotField showAll="0"/>
    <pivotField dataField="1" showAll="0"/>
    <pivotField showAll="0"/>
    <pivotField showAll="0"/>
    <pivotField showAll="0"/>
    <pivotField numFmtId="164" showAll="0"/>
    <pivotField axis="axisRow" showAll="0">
      <items count="23">
        <item h="1" x="3"/>
        <item h="1" x="2"/>
        <item h="1" x="13"/>
        <item h="1" x="7"/>
        <item h="1" x="17"/>
        <item h="1" x="14"/>
        <item h="1" x="0"/>
        <item h="1" x="12"/>
        <item h="1" x="20"/>
        <item h="1" x="6"/>
        <item h="1" x="9"/>
        <item h="1" x="18"/>
        <item h="1" x="11"/>
        <item h="1" x="19"/>
        <item h="1" x="1"/>
        <item h="1" x="16"/>
        <item h="1" x="15"/>
        <item h="1" x="5"/>
        <item x="8"/>
        <item h="1" x="10"/>
        <item h="1" x="4"/>
        <item h="1" x="21"/>
        <item t="default"/>
      </items>
    </pivotField>
    <pivotField dataField="1" showAll="0"/>
    <pivotField dataField="1" showAll="0"/>
    <pivotField showAll="0"/>
  </pivotFields>
  <rowFields count="2">
    <field x="0"/>
    <field x="7"/>
  </rowFields>
  <rowItems count="3">
    <i>
      <x v="2"/>
    </i>
    <i r="1">
      <x v="18"/>
    </i>
    <i t="grand">
      <x/>
    </i>
  </rowItems>
  <colFields count="1">
    <field x="-2"/>
  </colFields>
  <colItems count="3">
    <i>
      <x/>
    </i>
    <i i="1">
      <x v="1"/>
    </i>
    <i i="2">
      <x v="2"/>
    </i>
  </colItems>
  <dataFields count="3">
    <dataField name="Sum of Profit Per Item" fld="9" baseField="0" baseItem="0"/>
    <dataField name="Sum of HPP" fld="8" baseField="0" baseItem="0"/>
    <dataField name="Sum of Harga per Item" fld="2" baseField="0" baseItem="0"/>
  </dataFields>
  <formats count="12">
    <format dxfId="60">
      <pivotArea type="all" dataOnly="0" outline="0" fieldPosition="0"/>
    </format>
    <format dxfId="61">
      <pivotArea outline="0" collapsedLevelsAreSubtotals="1" fieldPosition="0"/>
    </format>
    <format dxfId="62">
      <pivotArea field="0" type="button" dataOnly="0" labelOnly="1" outline="0" axis="axisRow" fieldPosition="0"/>
    </format>
    <format dxfId="63">
      <pivotArea dataOnly="0" labelOnly="1" fieldPosition="0">
        <references count="1">
          <reference field="0" count="0"/>
        </references>
      </pivotArea>
    </format>
    <format dxfId="64">
      <pivotArea dataOnly="0" labelOnly="1" grandRow="1" outline="0" fieldPosition="0"/>
    </format>
    <format dxfId="65">
      <pivotArea dataOnly="0" labelOnly="1" outline="0" fieldPosition="0">
        <references count="1">
          <reference field="4294967294" count="3">
            <x v="0"/>
            <x v="1"/>
            <x v="2"/>
          </reference>
        </references>
      </pivotArea>
    </format>
    <format dxfId="66">
      <pivotArea type="all" dataOnly="0" outline="0" fieldPosition="0"/>
    </format>
    <format dxfId="67">
      <pivotArea outline="0" collapsedLevelsAreSubtotals="1" fieldPosition="0"/>
    </format>
    <format dxfId="68">
      <pivotArea field="0" type="button" dataOnly="0" labelOnly="1" outline="0" axis="axisRow" fieldPosition="0"/>
    </format>
    <format dxfId="69">
      <pivotArea dataOnly="0" labelOnly="1" fieldPosition="0">
        <references count="1">
          <reference field="0" count="0"/>
        </references>
      </pivotArea>
    </format>
    <format dxfId="70">
      <pivotArea dataOnly="0" labelOnly="1" grandRow="1" outline="0" fieldPosition="0"/>
    </format>
    <format dxfId="71">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F952C2-9A4A-43CC-A0C5-7842D2EE4E33}" name="PivotTable3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L7:M12" firstHeaderRow="1" firstDataRow="1" firstDataCol="1"/>
  <pivotFields count="13">
    <pivotField axis="axisRow" showAll="0">
      <items count="7">
        <item h="1" x="0"/>
        <item h="1" x="1"/>
        <item h="1" x="2"/>
        <item x="3"/>
        <item h="1" x="4"/>
        <item h="1" x="5"/>
        <item t="default"/>
      </items>
    </pivotField>
    <pivotField dataField="1" showAll="0"/>
    <pivotField showAll="0"/>
    <pivotField showAll="0"/>
    <pivotField showAll="0"/>
    <pivotField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axis="axisRow" showAll="0">
      <items count="23">
        <item x="3"/>
        <item x="2"/>
        <item x="13"/>
        <item x="7"/>
        <item x="17"/>
        <item x="14"/>
        <item x="0"/>
        <item x="12"/>
        <item x="20"/>
        <item x="6"/>
        <item x="9"/>
        <item x="18"/>
        <item x="11"/>
        <item x="19"/>
        <item x="1"/>
        <item x="16"/>
        <item x="15"/>
        <item x="5"/>
        <item x="8"/>
        <item x="10"/>
        <item x="4"/>
        <item x="2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0"/>
    <field x="7"/>
  </rowFields>
  <rowItems count="5">
    <i>
      <x v="3"/>
    </i>
    <i r="1">
      <x v="7"/>
    </i>
    <i r="1">
      <x v="12"/>
    </i>
    <i r="1">
      <x v="19"/>
    </i>
    <i t="grand">
      <x/>
    </i>
  </rowItems>
  <colItems count="1">
    <i/>
  </colItems>
  <dataFields count="1">
    <dataField name="Count of Ukuran" fld="1" subtotal="count" baseField="0" baseItem="0"/>
  </dataFields>
  <chartFormats count="23">
    <chartFormat chart="2" format="1" series="1">
      <pivotArea type="data" outline="0" fieldPosition="0">
        <references count="1">
          <reference field="4294967294" count="1" selected="0">
            <x v="0"/>
          </reference>
        </references>
      </pivotArea>
    </chartFormat>
    <chartFormat chart="2" format="2">
      <pivotArea type="data" outline="0" fieldPosition="0">
        <references count="3">
          <reference field="4294967294" count="1" selected="0">
            <x v="0"/>
          </reference>
          <reference field="0" count="1" selected="0">
            <x v="0"/>
          </reference>
          <reference field="7" count="1" selected="0">
            <x v="1"/>
          </reference>
        </references>
      </pivotArea>
    </chartFormat>
    <chartFormat chart="2" format="3">
      <pivotArea type="data" outline="0" fieldPosition="0">
        <references count="3">
          <reference field="4294967294" count="1" selected="0">
            <x v="0"/>
          </reference>
          <reference field="0" count="1" selected="0">
            <x v="0"/>
          </reference>
          <reference field="7" count="1" selected="0">
            <x v="6"/>
          </reference>
        </references>
      </pivotArea>
    </chartFormat>
    <chartFormat chart="2" format="4">
      <pivotArea type="data" outline="0" fieldPosition="0">
        <references count="3">
          <reference field="4294967294" count="1" selected="0">
            <x v="0"/>
          </reference>
          <reference field="0" count="1" selected="0">
            <x v="0"/>
          </reference>
          <reference field="7" count="1" selected="0">
            <x v="8"/>
          </reference>
        </references>
      </pivotArea>
    </chartFormat>
    <chartFormat chart="2" format="5">
      <pivotArea type="data" outline="0" fieldPosition="0">
        <references count="3">
          <reference field="4294967294" count="1" selected="0">
            <x v="0"/>
          </reference>
          <reference field="0" count="1" selected="0">
            <x v="0"/>
          </reference>
          <reference field="7" count="1" selected="0">
            <x v="14"/>
          </reference>
        </references>
      </pivotArea>
    </chartFormat>
    <chartFormat chart="2" format="6">
      <pivotArea type="data" outline="0" fieldPosition="0">
        <references count="3">
          <reference field="4294967294" count="1" selected="0">
            <x v="0"/>
          </reference>
          <reference field="0" count="1" selected="0">
            <x v="1"/>
          </reference>
          <reference field="7" count="1" selected="0">
            <x v="0"/>
          </reference>
        </references>
      </pivotArea>
    </chartFormat>
    <chartFormat chart="2" format="7">
      <pivotArea type="data" outline="0" fieldPosition="0">
        <references count="3">
          <reference field="4294967294" count="1" selected="0">
            <x v="0"/>
          </reference>
          <reference field="0" count="1" selected="0">
            <x v="1"/>
          </reference>
          <reference field="7" count="1" selected="0">
            <x v="9"/>
          </reference>
        </references>
      </pivotArea>
    </chartFormat>
    <chartFormat chart="2" format="8">
      <pivotArea type="data" outline="0" fieldPosition="0">
        <references count="3">
          <reference field="4294967294" count="1" selected="0">
            <x v="0"/>
          </reference>
          <reference field="0" count="1" selected="0">
            <x v="1"/>
          </reference>
          <reference field="7" count="1" selected="0">
            <x v="17"/>
          </reference>
        </references>
      </pivotArea>
    </chartFormat>
    <chartFormat chart="2" format="9">
      <pivotArea type="data" outline="0" fieldPosition="0">
        <references count="3">
          <reference field="4294967294" count="1" selected="0">
            <x v="0"/>
          </reference>
          <reference field="0" count="1" selected="0">
            <x v="1"/>
          </reference>
          <reference field="7" count="1" selected="0">
            <x v="20"/>
          </reference>
        </references>
      </pivotArea>
    </chartFormat>
    <chartFormat chart="2" format="10">
      <pivotArea type="data" outline="0" fieldPosition="0">
        <references count="3">
          <reference field="4294967294" count="1" selected="0">
            <x v="0"/>
          </reference>
          <reference field="0" count="1" selected="0">
            <x v="2"/>
          </reference>
          <reference field="7" count="1" selected="0">
            <x v="3"/>
          </reference>
        </references>
      </pivotArea>
    </chartFormat>
    <chartFormat chart="2" format="11">
      <pivotArea type="data" outline="0" fieldPosition="0">
        <references count="3">
          <reference field="4294967294" count="1" selected="0">
            <x v="0"/>
          </reference>
          <reference field="0" count="1" selected="0">
            <x v="2"/>
          </reference>
          <reference field="7" count="1" selected="0">
            <x v="10"/>
          </reference>
        </references>
      </pivotArea>
    </chartFormat>
    <chartFormat chart="2" format="12">
      <pivotArea type="data" outline="0" fieldPosition="0">
        <references count="3">
          <reference field="4294967294" count="1" selected="0">
            <x v="0"/>
          </reference>
          <reference field="0" count="1" selected="0">
            <x v="2"/>
          </reference>
          <reference field="7" count="1" selected="0">
            <x v="18"/>
          </reference>
        </references>
      </pivotArea>
    </chartFormat>
    <chartFormat chart="2" format="13">
      <pivotArea type="data" outline="0" fieldPosition="0">
        <references count="3">
          <reference field="4294967294" count="1" selected="0">
            <x v="0"/>
          </reference>
          <reference field="0" count="1" selected="0">
            <x v="2"/>
          </reference>
          <reference field="7" count="1" selected="0">
            <x v="21"/>
          </reference>
        </references>
      </pivotArea>
    </chartFormat>
    <chartFormat chart="2" format="14">
      <pivotArea type="data" outline="0" fieldPosition="0">
        <references count="3">
          <reference field="4294967294" count="1" selected="0">
            <x v="0"/>
          </reference>
          <reference field="0" count="1" selected="0">
            <x v="3"/>
          </reference>
          <reference field="7" count="1" selected="0">
            <x v="7"/>
          </reference>
        </references>
      </pivotArea>
    </chartFormat>
    <chartFormat chart="2" format="15">
      <pivotArea type="data" outline="0" fieldPosition="0">
        <references count="3">
          <reference field="4294967294" count="1" selected="0">
            <x v="0"/>
          </reference>
          <reference field="0" count="1" selected="0">
            <x v="3"/>
          </reference>
          <reference field="7" count="1" selected="0">
            <x v="12"/>
          </reference>
        </references>
      </pivotArea>
    </chartFormat>
    <chartFormat chart="2" format="16">
      <pivotArea type="data" outline="0" fieldPosition="0">
        <references count="3">
          <reference field="4294967294" count="1" selected="0">
            <x v="0"/>
          </reference>
          <reference field="0" count="1" selected="0">
            <x v="3"/>
          </reference>
          <reference field="7" count="1" selected="0">
            <x v="19"/>
          </reference>
        </references>
      </pivotArea>
    </chartFormat>
    <chartFormat chart="2" format="17">
      <pivotArea type="data" outline="0" fieldPosition="0">
        <references count="3">
          <reference field="4294967294" count="1" selected="0">
            <x v="0"/>
          </reference>
          <reference field="0" count="1" selected="0">
            <x v="4"/>
          </reference>
          <reference field="7" count="1" selected="0">
            <x v="2"/>
          </reference>
        </references>
      </pivotArea>
    </chartFormat>
    <chartFormat chart="2" format="18">
      <pivotArea type="data" outline="0" fieldPosition="0">
        <references count="3">
          <reference field="4294967294" count="1" selected="0">
            <x v="0"/>
          </reference>
          <reference field="0" count="1" selected="0">
            <x v="4"/>
          </reference>
          <reference field="7" count="1" selected="0">
            <x v="5"/>
          </reference>
        </references>
      </pivotArea>
    </chartFormat>
    <chartFormat chart="2" format="19">
      <pivotArea type="data" outline="0" fieldPosition="0">
        <references count="3">
          <reference field="4294967294" count="1" selected="0">
            <x v="0"/>
          </reference>
          <reference field="0" count="1" selected="0">
            <x v="4"/>
          </reference>
          <reference field="7" count="1" selected="0">
            <x v="16"/>
          </reference>
        </references>
      </pivotArea>
    </chartFormat>
    <chartFormat chart="2" format="20">
      <pivotArea type="data" outline="0" fieldPosition="0">
        <references count="3">
          <reference field="4294967294" count="1" selected="0">
            <x v="0"/>
          </reference>
          <reference field="0" count="1" selected="0">
            <x v="5"/>
          </reference>
          <reference field="7" count="1" selected="0">
            <x v="4"/>
          </reference>
        </references>
      </pivotArea>
    </chartFormat>
    <chartFormat chart="2" format="21">
      <pivotArea type="data" outline="0" fieldPosition="0">
        <references count="3">
          <reference field="4294967294" count="1" selected="0">
            <x v="0"/>
          </reference>
          <reference field="0" count="1" selected="0">
            <x v="5"/>
          </reference>
          <reference field="7" count="1" selected="0">
            <x v="11"/>
          </reference>
        </references>
      </pivotArea>
    </chartFormat>
    <chartFormat chart="2" format="22">
      <pivotArea type="data" outline="0" fieldPosition="0">
        <references count="3">
          <reference field="4294967294" count="1" selected="0">
            <x v="0"/>
          </reference>
          <reference field="0" count="1" selected="0">
            <x v="5"/>
          </reference>
          <reference field="7" count="1" selected="0">
            <x v="13"/>
          </reference>
        </references>
      </pivotArea>
    </chartFormat>
    <chartFormat chart="2" format="23">
      <pivotArea type="data" outline="0" fieldPosition="0">
        <references count="3">
          <reference field="4294967294" count="1" selected="0">
            <x v="0"/>
          </reference>
          <reference field="0" count="1" selected="0">
            <x v="5"/>
          </reference>
          <reference field="7" count="1" selected="0">
            <x v="1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2B46F4-14D0-4B5F-ACE1-1357D71A8E75}" name="PivotTable3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0">
  <location ref="A7:B11" firstHeaderRow="1" firstDataRow="1" firstDataCol="1"/>
  <pivotFields count="13">
    <pivotField showAll="0">
      <items count="7">
        <item h="1" x="0"/>
        <item h="1" x="1"/>
        <item h="1" x="2"/>
        <item x="3"/>
        <item h="1" x="4"/>
        <item h="1" x="5"/>
        <item t="default"/>
      </items>
    </pivotField>
    <pivotField axis="axisRow" showAll="0">
      <items count="5">
        <item x="3"/>
        <item x="2"/>
        <item x="1"/>
        <item x="0"/>
        <item t="default"/>
      </items>
    </pivotField>
    <pivotField dataField="1" showAll="0"/>
    <pivotField showAll="0"/>
    <pivotField showAll="0"/>
    <pivotField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1"/>
    </i>
    <i>
      <x v="2"/>
    </i>
    <i>
      <x v="3"/>
    </i>
    <i t="grand">
      <x/>
    </i>
  </rowItems>
  <colItems count="1">
    <i/>
  </colItems>
  <dataFields count="1">
    <dataField name="Sum of Harga per Item" fld="2" baseField="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535D4-FABE-48F6-A3D3-F6A9EAE126C6}" name="PivotTable3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A27:B31" firstHeaderRow="1" firstDataRow="1" firstDataCol="1"/>
  <pivotFields count="13">
    <pivotField showAll="0">
      <items count="7">
        <item h="1" x="0"/>
        <item h="1" x="1"/>
        <item h="1" x="2"/>
        <item x="3"/>
        <item h="1" x="4"/>
        <item h="1" x="5"/>
        <item t="default"/>
      </items>
    </pivotField>
    <pivotField showAll="0">
      <items count="5">
        <item x="3"/>
        <item x="2"/>
        <item x="1"/>
        <item x="0"/>
        <item t="default"/>
      </items>
    </pivotField>
    <pivotField showAll="0"/>
    <pivotField showAll="0"/>
    <pivotField showAll="0"/>
    <pivotField dataField="1"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axis="axisRow" showAll="0">
      <items count="23">
        <item x="3"/>
        <item x="2"/>
        <item x="13"/>
        <item x="7"/>
        <item x="17"/>
        <item x="14"/>
        <item x="0"/>
        <item x="12"/>
        <item x="20"/>
        <item x="6"/>
        <item x="9"/>
        <item x="18"/>
        <item x="11"/>
        <item x="19"/>
        <item x="1"/>
        <item x="16"/>
        <item x="15"/>
        <item x="5"/>
        <item x="8"/>
        <item x="10"/>
        <item x="4"/>
        <item x="2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v="7"/>
    </i>
    <i>
      <x v="12"/>
    </i>
    <i>
      <x v="19"/>
    </i>
    <i t="grand">
      <x/>
    </i>
  </rowItems>
  <colItems count="1">
    <i/>
  </colItems>
  <dataFields count="1">
    <dataField name="Sum of Jumlah Terjual" fld="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72B17F-8873-4B66-BCB7-6CFDF80B12A2}" name="PivotTable2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E7:G11" firstHeaderRow="0" firstDataRow="1" firstDataCol="1"/>
  <pivotFields count="13">
    <pivotField showAll="0">
      <items count="7">
        <item h="1" x="0"/>
        <item h="1" x="1"/>
        <item h="1" x="2"/>
        <item x="3"/>
        <item h="1" x="4"/>
        <item h="1" x="5"/>
        <item t="default"/>
      </items>
    </pivotField>
    <pivotField showAll="0"/>
    <pivotField showAll="0"/>
    <pivotField showAll="0"/>
    <pivotField dataField="1" showAll="0"/>
    <pivotField dataField="1" showAll="0"/>
    <pivotField numFmtId="164" showAll="0">
      <items count="48">
        <item x="6"/>
        <item x="20"/>
        <item x="9"/>
        <item x="11"/>
        <item x="19"/>
        <item x="39"/>
        <item x="40"/>
        <item x="3"/>
        <item x="7"/>
        <item x="43"/>
        <item x="16"/>
        <item x="30"/>
        <item x="38"/>
        <item x="37"/>
        <item x="21"/>
        <item x="10"/>
        <item x="22"/>
        <item x="1"/>
        <item x="18"/>
        <item x="15"/>
        <item x="46"/>
        <item x="28"/>
        <item x="33"/>
        <item x="8"/>
        <item x="27"/>
        <item x="34"/>
        <item x="42"/>
        <item x="31"/>
        <item x="4"/>
        <item x="13"/>
        <item x="0"/>
        <item x="14"/>
        <item x="41"/>
        <item x="23"/>
        <item x="17"/>
        <item x="44"/>
        <item x="26"/>
        <item x="29"/>
        <item x="32"/>
        <item x="24"/>
        <item x="2"/>
        <item x="45"/>
        <item x="12"/>
        <item x="36"/>
        <item x="25"/>
        <item x="35"/>
        <item x="5"/>
        <item t="default"/>
      </items>
    </pivotField>
    <pivotField axis="axisRow" showAll="0">
      <items count="23">
        <item x="3"/>
        <item x="2"/>
        <item x="13"/>
        <item x="7"/>
        <item x="17"/>
        <item x="14"/>
        <item x="0"/>
        <item x="12"/>
        <item x="20"/>
        <item x="6"/>
        <item x="9"/>
        <item x="18"/>
        <item x="11"/>
        <item x="19"/>
        <item x="1"/>
        <item x="16"/>
        <item x="15"/>
        <item x="5"/>
        <item x="8"/>
        <item x="10"/>
        <item x="4"/>
        <item x="2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v="7"/>
    </i>
    <i>
      <x v="12"/>
    </i>
    <i>
      <x v="19"/>
    </i>
    <i t="grand">
      <x/>
    </i>
  </rowItems>
  <colFields count="1">
    <field x="-2"/>
  </colFields>
  <colItems count="2">
    <i>
      <x/>
    </i>
    <i i="1">
      <x v="1"/>
    </i>
  </colItems>
  <dataFields count="2">
    <dataField name="Sum of Jumlah Terjual" fld="5" baseField="0" baseItem="0"/>
    <dataField name="Sum of Stok Akhir" fld="4"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1" xr10:uid="{892CBA7A-7BB9-4FA0-9F84-46637D2924E2}" sourceName="Jenis">
  <pivotTables>
    <pivotTable tabId="2" name="PivotTable22"/>
    <pivotTable tabId="2" name="PivotTable27"/>
    <pivotTable tabId="2" name="PivotTable28"/>
    <pivotTable tabId="2" name="PivotTable30"/>
    <pivotTable tabId="2" name="PivotTable32"/>
    <pivotTable tabId="2" name="PivotTable33"/>
  </pivotTables>
  <data>
    <tabular pivotCacheId="1082490663">
      <items count="6">
        <i x="0"/>
        <i x="1"/>
        <i x="2"/>
        <i x="3" s="1"/>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5E785D9-3D73-42B4-ACE5-E28F47E8E1DD}" sourceName="Brand">
  <pivotTables>
    <pivotTable tabId="2" name="PivotTable3"/>
  </pivotTables>
  <data>
    <tabular pivotCacheId="722108223">
      <items count="22">
        <i x="3"/>
        <i x="2"/>
        <i x="13"/>
        <i x="7"/>
        <i x="17"/>
        <i x="14"/>
        <i x="0"/>
        <i x="12"/>
        <i x="20"/>
        <i x="6"/>
        <i x="9"/>
        <i x="18"/>
        <i x="11"/>
        <i x="19"/>
        <i x="1"/>
        <i x="16"/>
        <i x="15"/>
        <i x="5"/>
        <i x="8" s="1"/>
        <i x="10"/>
        <i x="4"/>
        <i x="2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1" xr10:uid="{78DB13DA-4AEA-4737-B928-C44EFBEB8ED8}" cache="Slicer_Jenis1" caption="Jenis" style="SlicerStyleLight4" rowHeight="241300"/>
  <slicer name="Brand" xr10:uid="{E7BAE86C-C1E0-4535-A922-16D047D14A34}" cache="Slicer_Brand" caption="Brand" startItem="14"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674E2-3567-4970-BC23-F7D016118159}" name="Table1" displayName="Table1" ref="A1:K100" totalsRowShown="0" headerRowDxfId="326" dataDxfId="324" headerRowBorderDxfId="325" tableBorderDxfId="323">
  <autoFilter ref="A1:K100" xr:uid="{C4E674E2-3567-4970-BC23-F7D016118159}"/>
  <tableColumns count="11">
    <tableColumn id="1" xr3:uid="{81B71F35-F6F0-4AAE-BE09-3AD048974DD5}" name="Jenis" dataDxfId="322"/>
    <tableColumn id="2" xr3:uid="{9E99E904-FDD0-4D00-971A-48C8C6D13486}" name="Ukuran" dataDxfId="321"/>
    <tableColumn id="3" xr3:uid="{881CF9E3-C28A-4DAD-89F9-11BDF71D717D}" name="Harga per Item" dataDxfId="320"/>
    <tableColumn id="4" xr3:uid="{5B38D42E-F057-4CF2-8A7E-9DE74387CA1C}" name="Stok Awal" dataDxfId="319"/>
    <tableColumn id="5" xr3:uid="{2DC4FE9C-F807-433D-A53E-1486F624642A}" name="Stok Akhir" dataDxfId="318"/>
    <tableColumn id="6" xr3:uid="{AD041AE5-7229-4748-963A-2F68661FA5F5}" name="Jumlah Terjual" dataDxfId="317"/>
    <tableColumn id="7" xr3:uid="{1E1EE3FC-19C8-42AC-AAFF-9ED76730EB97}" name="Tanggal Terjual" dataDxfId="316"/>
    <tableColumn id="8" xr3:uid="{9FD6BC74-BFF9-4FA5-865A-AE4538606336}" name="Brand" dataDxfId="315"/>
    <tableColumn id="9" xr3:uid="{25DE3568-97D3-4F5D-AFAC-9AF96F9C07C7}" name="HPP" dataDxfId="314">
      <calculatedColumnFormula>Table1[[#This Row],[Harga per Item]]*70%</calculatedColumnFormula>
    </tableColumn>
    <tableColumn id="11" xr3:uid="{3C99D986-E9C7-42E4-BC77-1E47FCBFB2C2}" name="Profit Per Item" dataDxfId="313">
      <calculatedColumnFormula>Table1[[#This Row],[Harga per Item]]-Table1[[#This Row],[HPP]]</calculatedColumnFormula>
    </tableColumn>
    <tableColumn id="12" xr3:uid="{D7AB6572-19A4-40D9-8FF8-9E2F9E58095A}" name="Total Profit" dataDxfId="312">
      <calculatedColumnFormula>Table1[[#This Row],[Profit Per Item]]*Table1[[#This Row],[Jumlah Terjual]]</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tabSelected="1" zoomScale="57" zoomScaleNormal="95" workbookViewId="0">
      <selection activeCell="K3" sqref="K3"/>
    </sheetView>
  </sheetViews>
  <sheetFormatPr defaultRowHeight="14.4" x14ac:dyDescent="0.3"/>
  <cols>
    <col min="1" max="1" width="15.6640625" style="6" bestFit="1" customWidth="1"/>
    <col min="2" max="2" width="17.109375" style="6" bestFit="1" customWidth="1"/>
    <col min="3" max="3" width="25.21875" style="6" bestFit="1" customWidth="1"/>
    <col min="4" max="4" width="20" style="6" bestFit="1" customWidth="1"/>
    <col min="5" max="5" width="20.33203125" style="6" bestFit="1" customWidth="1"/>
    <col min="6" max="6" width="25.21875" style="6" bestFit="1" customWidth="1"/>
    <col min="7" max="7" width="25.6640625" style="6" customWidth="1"/>
    <col min="8" max="8" width="15.88671875" style="6" bestFit="1" customWidth="1"/>
    <col min="9" max="9" width="14.109375" style="6" bestFit="1" customWidth="1"/>
    <col min="10" max="10" width="24.88671875" style="6" bestFit="1" customWidth="1"/>
    <col min="11" max="11" width="21.33203125" style="6" bestFit="1" customWidth="1"/>
    <col min="12" max="16384" width="8.88671875" style="6"/>
  </cols>
  <sheetData>
    <row r="1" spans="1:11" x14ac:dyDescent="0.3">
      <c r="A1" s="5" t="s">
        <v>0</v>
      </c>
      <c r="B1" s="5" t="s">
        <v>1</v>
      </c>
      <c r="C1" s="5" t="s">
        <v>2</v>
      </c>
      <c r="D1" s="5" t="s">
        <v>3</v>
      </c>
      <c r="E1" s="5" t="s">
        <v>4</v>
      </c>
      <c r="F1" s="5" t="s">
        <v>5</v>
      </c>
      <c r="G1" s="5" t="s">
        <v>6</v>
      </c>
      <c r="H1" s="5" t="s">
        <v>7</v>
      </c>
      <c r="I1" s="5" t="s">
        <v>50</v>
      </c>
      <c r="J1" s="5" t="s">
        <v>51</v>
      </c>
      <c r="K1" s="5" t="s">
        <v>52</v>
      </c>
    </row>
    <row r="2" spans="1:11" x14ac:dyDescent="0.3">
      <c r="A2" s="6" t="s">
        <v>8</v>
      </c>
      <c r="B2" s="6" t="s">
        <v>14</v>
      </c>
      <c r="C2" s="7">
        <v>261231</v>
      </c>
      <c r="D2" s="6">
        <v>148</v>
      </c>
      <c r="E2" s="6">
        <v>122</v>
      </c>
      <c r="F2" s="6">
        <v>26</v>
      </c>
      <c r="G2" s="8">
        <v>45817</v>
      </c>
      <c r="H2" s="6" t="s">
        <v>18</v>
      </c>
      <c r="I2" s="6">
        <f>Table1[[#This Row],[Harga per Item]]*70%</f>
        <v>182861.69999999998</v>
      </c>
      <c r="J2" s="6">
        <f>Table1[[#This Row],[Harga per Item]]-Table1[[#This Row],[HPP]]</f>
        <v>78369.300000000017</v>
      </c>
      <c r="K2" s="6">
        <f>Table1[[#This Row],[Profit Per Item]]*Table1[[#This Row],[Jumlah Terjual]]</f>
        <v>2037601.8000000005</v>
      </c>
    </row>
    <row r="3" spans="1:11" x14ac:dyDescent="0.3">
      <c r="A3" s="6" t="s">
        <v>8</v>
      </c>
      <c r="B3" s="6" t="s">
        <v>14</v>
      </c>
      <c r="C3" s="7">
        <v>261231</v>
      </c>
      <c r="D3" s="6">
        <v>93</v>
      </c>
      <c r="E3" s="6">
        <v>67</v>
      </c>
      <c r="F3" s="6">
        <v>26</v>
      </c>
      <c r="G3" s="8">
        <v>45748</v>
      </c>
      <c r="H3" s="6" t="s">
        <v>18</v>
      </c>
      <c r="I3" s="6">
        <f>Table1[[#This Row],[Harga per Item]]*70%</f>
        <v>182861.69999999998</v>
      </c>
      <c r="J3" s="6">
        <f>Table1[[#This Row],[Harga per Item]]-Table1[[#This Row],[HPP]]</f>
        <v>78369.300000000017</v>
      </c>
      <c r="K3" s="6">
        <f>Table1[[#This Row],[Profit Per Item]]*Table1[[#This Row],[Jumlah Terjual]]</f>
        <v>2037601.8000000005</v>
      </c>
    </row>
    <row r="4" spans="1:11" x14ac:dyDescent="0.3">
      <c r="A4" s="6" t="s">
        <v>8</v>
      </c>
      <c r="B4" s="6" t="s">
        <v>15</v>
      </c>
      <c r="C4" s="7">
        <v>112901</v>
      </c>
      <c r="D4" s="6">
        <v>41</v>
      </c>
      <c r="E4" s="6">
        <v>28</v>
      </c>
      <c r="F4" s="6">
        <v>13</v>
      </c>
      <c r="G4" s="8">
        <v>45894</v>
      </c>
      <c r="H4" s="6" t="s">
        <v>19</v>
      </c>
      <c r="I4" s="6">
        <f>Table1[[#This Row],[Harga per Item]]*70%</f>
        <v>79030.7</v>
      </c>
      <c r="J4" s="6">
        <f>Table1[[#This Row],[Harga per Item]]-Table1[[#This Row],[HPP]]</f>
        <v>33870.300000000003</v>
      </c>
      <c r="K4" s="6">
        <f>Table1[[#This Row],[Profit Per Item]]*Table1[[#This Row],[Jumlah Terjual]]</f>
        <v>440313.9</v>
      </c>
    </row>
    <row r="5" spans="1:11" x14ac:dyDescent="0.3">
      <c r="A5" s="6" t="s">
        <v>8</v>
      </c>
      <c r="B5" s="6" t="s">
        <v>16</v>
      </c>
      <c r="C5" s="7">
        <v>202650</v>
      </c>
      <c r="D5" s="6">
        <v>160</v>
      </c>
      <c r="E5" s="6">
        <v>49</v>
      </c>
      <c r="F5" s="6">
        <v>111</v>
      </c>
      <c r="G5" s="8">
        <v>45680</v>
      </c>
      <c r="H5" s="6" t="s">
        <v>20</v>
      </c>
      <c r="I5" s="6">
        <f>Table1[[#This Row],[Harga per Item]]*70%</f>
        <v>141855</v>
      </c>
      <c r="J5" s="6">
        <f>Table1[[#This Row],[Harga per Item]]-Table1[[#This Row],[HPP]]</f>
        <v>60795</v>
      </c>
      <c r="K5" s="6">
        <f>Table1[[#This Row],[Profit Per Item]]*Table1[[#This Row],[Jumlah Terjual]]</f>
        <v>6748245</v>
      </c>
    </row>
    <row r="6" spans="1:11" x14ac:dyDescent="0.3">
      <c r="A6" s="6" t="s">
        <v>8</v>
      </c>
      <c r="B6" s="6" t="s">
        <v>14</v>
      </c>
      <c r="C6" s="7">
        <v>261231</v>
      </c>
      <c r="D6" s="6">
        <v>127</v>
      </c>
      <c r="E6" s="6">
        <v>104</v>
      </c>
      <c r="F6" s="6">
        <v>23</v>
      </c>
      <c r="G6" s="8">
        <v>45806</v>
      </c>
      <c r="H6" s="6" t="s">
        <v>18</v>
      </c>
      <c r="I6" s="6">
        <f>Table1[[#This Row],[Harga per Item]]*70%</f>
        <v>182861.69999999998</v>
      </c>
      <c r="J6" s="6">
        <f>Table1[[#This Row],[Harga per Item]]-Table1[[#This Row],[HPP]]</f>
        <v>78369.300000000017</v>
      </c>
      <c r="K6" s="6">
        <f>Table1[[#This Row],[Profit Per Item]]*Table1[[#This Row],[Jumlah Terjual]]</f>
        <v>1802493.9000000004</v>
      </c>
    </row>
    <row r="7" spans="1:11" x14ac:dyDescent="0.3">
      <c r="A7" s="6" t="s">
        <v>8</v>
      </c>
      <c r="B7" s="6" t="s">
        <v>15</v>
      </c>
      <c r="C7" s="7">
        <v>112901</v>
      </c>
      <c r="D7" s="6">
        <v>103</v>
      </c>
      <c r="E7" s="6">
        <v>20</v>
      </c>
      <c r="F7" s="6">
        <v>83</v>
      </c>
      <c r="G7" s="8">
        <v>45938</v>
      </c>
      <c r="H7" s="6" t="s">
        <v>19</v>
      </c>
      <c r="I7" s="6">
        <f>Table1[[#This Row],[Harga per Item]]*70%</f>
        <v>79030.7</v>
      </c>
      <c r="J7" s="6">
        <f>Table1[[#This Row],[Harga per Item]]-Table1[[#This Row],[HPP]]</f>
        <v>33870.300000000003</v>
      </c>
      <c r="K7" s="6">
        <f>Table1[[#This Row],[Profit Per Item]]*Table1[[#This Row],[Jumlah Terjual]]</f>
        <v>2811234.9000000004</v>
      </c>
    </row>
    <row r="8" spans="1:11" x14ac:dyDescent="0.3">
      <c r="A8" s="6" t="s">
        <v>9</v>
      </c>
      <c r="B8" s="6" t="s">
        <v>16</v>
      </c>
      <c r="C8" s="7">
        <v>169407</v>
      </c>
      <c r="D8" s="6">
        <v>179</v>
      </c>
      <c r="E8" s="6">
        <v>38</v>
      </c>
      <c r="F8" s="6">
        <v>141</v>
      </c>
      <c r="G8" s="8">
        <v>45660</v>
      </c>
      <c r="H8" s="6" t="s">
        <v>21</v>
      </c>
      <c r="I8" s="6">
        <f>Table1[[#This Row],[Harga per Item]]*70%</f>
        <v>118584.9</v>
      </c>
      <c r="J8" s="6">
        <f>Table1[[#This Row],[Harga per Item]]-Table1[[#This Row],[HPP]]</f>
        <v>50822.100000000006</v>
      </c>
      <c r="K8" s="6">
        <f>Table1[[#This Row],[Profit Per Item]]*Table1[[#This Row],[Jumlah Terjual]]</f>
        <v>7165916.1000000006</v>
      </c>
    </row>
    <row r="9" spans="1:11" x14ac:dyDescent="0.3">
      <c r="A9" s="6" t="s">
        <v>9</v>
      </c>
      <c r="B9" s="6" t="s">
        <v>17</v>
      </c>
      <c r="C9" s="7">
        <v>135039</v>
      </c>
      <c r="D9" s="6">
        <v>98</v>
      </c>
      <c r="E9" s="6">
        <v>25</v>
      </c>
      <c r="F9" s="6">
        <v>73</v>
      </c>
      <c r="G9" s="8">
        <v>45684</v>
      </c>
      <c r="H9" s="6" t="s">
        <v>22</v>
      </c>
      <c r="I9" s="6">
        <f>Table1[[#This Row],[Harga per Item]]*70%</f>
        <v>94527.299999999988</v>
      </c>
      <c r="J9" s="6">
        <f>Table1[[#This Row],[Harga per Item]]-Table1[[#This Row],[HPP]]</f>
        <v>40511.700000000012</v>
      </c>
      <c r="K9" s="6">
        <f>Table1[[#This Row],[Profit Per Item]]*Table1[[#This Row],[Jumlah Terjual]]</f>
        <v>2957354.100000001</v>
      </c>
    </row>
    <row r="10" spans="1:11" x14ac:dyDescent="0.3">
      <c r="A10" s="6" t="s">
        <v>9</v>
      </c>
      <c r="B10" s="6" t="s">
        <v>15</v>
      </c>
      <c r="C10" s="7">
        <v>163424</v>
      </c>
      <c r="D10" s="6">
        <v>144</v>
      </c>
      <c r="E10" s="6">
        <v>129</v>
      </c>
      <c r="F10" s="6">
        <v>15</v>
      </c>
      <c r="G10" s="8">
        <v>45782</v>
      </c>
      <c r="H10" s="6" t="s">
        <v>23</v>
      </c>
      <c r="I10" s="6">
        <f>Table1[[#This Row],[Harga per Item]]*70%</f>
        <v>114396.79999999999</v>
      </c>
      <c r="J10" s="6">
        <f>Table1[[#This Row],[Harga per Item]]-Table1[[#This Row],[HPP]]</f>
        <v>49027.200000000012</v>
      </c>
      <c r="K10" s="6">
        <f>Table1[[#This Row],[Profit Per Item]]*Table1[[#This Row],[Jumlah Terjual]]</f>
        <v>735408.00000000023</v>
      </c>
    </row>
    <row r="11" spans="1:11" x14ac:dyDescent="0.3">
      <c r="A11" s="6" t="s">
        <v>9</v>
      </c>
      <c r="B11" s="6" t="s">
        <v>16</v>
      </c>
      <c r="C11" s="7">
        <v>169407</v>
      </c>
      <c r="D11" s="6">
        <v>120</v>
      </c>
      <c r="E11" s="6">
        <v>114</v>
      </c>
      <c r="F11" s="6">
        <v>6</v>
      </c>
      <c r="G11" s="8">
        <v>45665</v>
      </c>
      <c r="H11" s="6" t="s">
        <v>21</v>
      </c>
      <c r="I11" s="6">
        <f>Table1[[#This Row],[Harga per Item]]*70%</f>
        <v>118584.9</v>
      </c>
      <c r="J11" s="6">
        <f>Table1[[#This Row],[Harga per Item]]-Table1[[#This Row],[HPP]]</f>
        <v>50822.100000000006</v>
      </c>
      <c r="K11" s="6">
        <f>Table1[[#This Row],[Profit Per Item]]*Table1[[#This Row],[Jumlah Terjual]]</f>
        <v>304932.60000000003</v>
      </c>
    </row>
    <row r="12" spans="1:11" x14ac:dyDescent="0.3">
      <c r="A12" s="6" t="s">
        <v>9</v>
      </c>
      <c r="B12" s="6" t="s">
        <v>14</v>
      </c>
      <c r="C12" s="7">
        <v>183484</v>
      </c>
      <c r="D12" s="6">
        <v>61</v>
      </c>
      <c r="E12" s="6">
        <v>36</v>
      </c>
      <c r="F12" s="6">
        <v>25</v>
      </c>
      <c r="G12" s="8">
        <v>45737</v>
      </c>
      <c r="H12" s="6" t="s">
        <v>24</v>
      </c>
      <c r="I12" s="6">
        <f>Table1[[#This Row],[Harga per Item]]*70%</f>
        <v>128438.79999999999</v>
      </c>
      <c r="J12" s="6">
        <f>Table1[[#This Row],[Harga per Item]]-Table1[[#This Row],[HPP]]</f>
        <v>55045.200000000012</v>
      </c>
      <c r="K12" s="6">
        <f>Table1[[#This Row],[Profit Per Item]]*Table1[[#This Row],[Jumlah Terjual]]</f>
        <v>1376130.0000000002</v>
      </c>
    </row>
    <row r="13" spans="1:11" x14ac:dyDescent="0.3">
      <c r="A13" s="6" t="s">
        <v>9</v>
      </c>
      <c r="B13" s="6" t="s">
        <v>14</v>
      </c>
      <c r="C13" s="7">
        <v>183484</v>
      </c>
      <c r="D13" s="6">
        <v>43</v>
      </c>
      <c r="E13" s="6">
        <v>15</v>
      </c>
      <c r="F13" s="6">
        <v>28</v>
      </c>
      <c r="G13" s="8">
        <v>45666</v>
      </c>
      <c r="H13" s="6" t="s">
        <v>24</v>
      </c>
      <c r="I13" s="6">
        <f>Table1[[#This Row],[Harga per Item]]*70%</f>
        <v>128438.79999999999</v>
      </c>
      <c r="J13" s="6">
        <f>Table1[[#This Row],[Harga per Item]]-Table1[[#This Row],[HPP]]</f>
        <v>55045.200000000012</v>
      </c>
      <c r="K13" s="6">
        <f>Table1[[#This Row],[Profit Per Item]]*Table1[[#This Row],[Jumlah Terjual]]</f>
        <v>1541265.6000000003</v>
      </c>
    </row>
    <row r="14" spans="1:11" x14ac:dyDescent="0.3">
      <c r="A14" s="6" t="s">
        <v>10</v>
      </c>
      <c r="B14" s="6" t="s">
        <v>17</v>
      </c>
      <c r="C14" s="7">
        <v>128935</v>
      </c>
      <c r="D14" s="6">
        <v>37</v>
      </c>
      <c r="E14" s="6">
        <v>16</v>
      </c>
      <c r="F14" s="6">
        <v>21</v>
      </c>
      <c r="G14" s="8">
        <v>45911</v>
      </c>
      <c r="H14" s="6" t="s">
        <v>25</v>
      </c>
      <c r="I14" s="6">
        <f>Table1[[#This Row],[Harga per Item]]*70%</f>
        <v>90254.5</v>
      </c>
      <c r="J14" s="6">
        <f>Table1[[#This Row],[Harga per Item]]-Table1[[#This Row],[HPP]]</f>
        <v>38680.5</v>
      </c>
      <c r="K14" s="6">
        <f>Table1[[#This Row],[Profit Per Item]]*Table1[[#This Row],[Jumlah Terjual]]</f>
        <v>812290.5</v>
      </c>
    </row>
    <row r="15" spans="1:11" x14ac:dyDescent="0.3">
      <c r="A15" s="6" t="s">
        <v>10</v>
      </c>
      <c r="B15" s="6" t="s">
        <v>15</v>
      </c>
      <c r="C15" s="7">
        <v>210921</v>
      </c>
      <c r="D15" s="6">
        <v>82</v>
      </c>
      <c r="E15" s="6">
        <v>75</v>
      </c>
      <c r="F15" s="6">
        <v>7</v>
      </c>
      <c r="G15" s="8">
        <v>45809</v>
      </c>
      <c r="H15" s="6" t="s">
        <v>26</v>
      </c>
      <c r="I15" s="6">
        <f>Table1[[#This Row],[Harga per Item]]*70%</f>
        <v>147644.69999999998</v>
      </c>
      <c r="J15" s="6">
        <f>Table1[[#This Row],[Harga per Item]]-Table1[[#This Row],[HPP]]</f>
        <v>63276.300000000017</v>
      </c>
      <c r="K15" s="6">
        <f>Table1[[#This Row],[Profit Per Item]]*Table1[[#This Row],[Jumlah Terjual]]</f>
        <v>442934.10000000009</v>
      </c>
    </row>
    <row r="16" spans="1:11" x14ac:dyDescent="0.3">
      <c r="A16" s="6" t="s">
        <v>10</v>
      </c>
      <c r="B16" s="6" t="s">
        <v>17</v>
      </c>
      <c r="C16" s="7">
        <v>128935</v>
      </c>
      <c r="D16" s="6">
        <v>147</v>
      </c>
      <c r="E16" s="6">
        <v>58</v>
      </c>
      <c r="F16" s="6">
        <v>89</v>
      </c>
      <c r="G16" s="8">
        <v>45818</v>
      </c>
      <c r="H16" s="6" t="s">
        <v>25</v>
      </c>
      <c r="I16" s="6">
        <f>Table1[[#This Row],[Harga per Item]]*70%</f>
        <v>90254.5</v>
      </c>
      <c r="J16" s="6">
        <f>Table1[[#This Row],[Harga per Item]]-Table1[[#This Row],[HPP]]</f>
        <v>38680.5</v>
      </c>
      <c r="K16" s="6">
        <f>Table1[[#This Row],[Profit Per Item]]*Table1[[#This Row],[Jumlah Terjual]]</f>
        <v>3442564.5</v>
      </c>
    </row>
    <row r="17" spans="1:11" x14ac:dyDescent="0.3">
      <c r="A17" s="6" t="s">
        <v>10</v>
      </c>
      <c r="B17" s="6" t="s">
        <v>15</v>
      </c>
      <c r="C17" s="7">
        <v>210921</v>
      </c>
      <c r="D17" s="6">
        <v>89</v>
      </c>
      <c r="E17" s="6">
        <v>47</v>
      </c>
      <c r="F17" s="6">
        <v>42</v>
      </c>
      <c r="G17" s="8">
        <v>45754</v>
      </c>
      <c r="H17" s="6" t="s">
        <v>26</v>
      </c>
      <c r="I17" s="6">
        <f>Table1[[#This Row],[Harga per Item]]*70%</f>
        <v>147644.69999999998</v>
      </c>
      <c r="J17" s="6">
        <f>Table1[[#This Row],[Harga per Item]]-Table1[[#This Row],[HPP]]</f>
        <v>63276.300000000017</v>
      </c>
      <c r="K17" s="6">
        <f>Table1[[#This Row],[Profit Per Item]]*Table1[[#This Row],[Jumlah Terjual]]</f>
        <v>2657604.6000000006</v>
      </c>
    </row>
    <row r="18" spans="1:11" x14ac:dyDescent="0.3">
      <c r="A18" s="6" t="s">
        <v>10</v>
      </c>
      <c r="B18" s="6" t="s">
        <v>15</v>
      </c>
      <c r="C18" s="7">
        <v>210921</v>
      </c>
      <c r="D18" s="6">
        <v>73</v>
      </c>
      <c r="E18" s="6">
        <v>48</v>
      </c>
      <c r="F18" s="6">
        <v>25</v>
      </c>
      <c r="G18" s="8">
        <v>45702</v>
      </c>
      <c r="H18" s="6" t="s">
        <v>26</v>
      </c>
      <c r="I18" s="6">
        <f>Table1[[#This Row],[Harga per Item]]*70%</f>
        <v>147644.69999999998</v>
      </c>
      <c r="J18" s="6">
        <f>Table1[[#This Row],[Harga per Item]]-Table1[[#This Row],[HPP]]</f>
        <v>63276.300000000017</v>
      </c>
      <c r="K18" s="6">
        <f>Table1[[#This Row],[Profit Per Item]]*Table1[[#This Row],[Jumlah Terjual]]</f>
        <v>1581907.5000000005</v>
      </c>
    </row>
    <row r="19" spans="1:11" x14ac:dyDescent="0.3">
      <c r="A19" s="6" t="s">
        <v>10</v>
      </c>
      <c r="B19" s="6" t="s">
        <v>17</v>
      </c>
      <c r="C19" s="7">
        <v>128935</v>
      </c>
      <c r="D19" s="6">
        <v>113</v>
      </c>
      <c r="E19" s="6">
        <v>93</v>
      </c>
      <c r="F19" s="6">
        <v>20</v>
      </c>
      <c r="G19" s="8">
        <v>45861</v>
      </c>
      <c r="H19" s="6" t="s">
        <v>25</v>
      </c>
      <c r="I19" s="6">
        <f>Table1[[#This Row],[Harga per Item]]*70%</f>
        <v>90254.5</v>
      </c>
      <c r="J19" s="6">
        <f>Table1[[#This Row],[Harga per Item]]-Table1[[#This Row],[HPP]]</f>
        <v>38680.5</v>
      </c>
      <c r="K19" s="6">
        <f>Table1[[#This Row],[Profit Per Item]]*Table1[[#This Row],[Jumlah Terjual]]</f>
        <v>773610</v>
      </c>
    </row>
    <row r="20" spans="1:11" x14ac:dyDescent="0.3">
      <c r="A20" s="6" t="s">
        <v>10</v>
      </c>
      <c r="B20" s="6" t="s">
        <v>14</v>
      </c>
      <c r="C20" s="7">
        <v>139317</v>
      </c>
      <c r="D20" s="6">
        <v>130</v>
      </c>
      <c r="E20" s="6">
        <v>96</v>
      </c>
      <c r="F20" s="6">
        <v>34</v>
      </c>
      <c r="G20" s="8">
        <v>45751</v>
      </c>
      <c r="H20" s="6" t="s">
        <v>27</v>
      </c>
      <c r="I20" s="6">
        <f>Table1[[#This Row],[Harga per Item]]*70%</f>
        <v>97521.9</v>
      </c>
      <c r="J20" s="6">
        <f>Table1[[#This Row],[Harga per Item]]-Table1[[#This Row],[HPP]]</f>
        <v>41795.100000000006</v>
      </c>
      <c r="K20" s="6">
        <f>Table1[[#This Row],[Profit Per Item]]*Table1[[#This Row],[Jumlah Terjual]]</f>
        <v>1421033.4000000001</v>
      </c>
    </row>
    <row r="21" spans="1:11" x14ac:dyDescent="0.3">
      <c r="A21" s="6" t="s">
        <v>11</v>
      </c>
      <c r="B21" s="6" t="s">
        <v>14</v>
      </c>
      <c r="C21" s="7">
        <v>281516</v>
      </c>
      <c r="D21" s="6">
        <v>72</v>
      </c>
      <c r="E21" s="6">
        <v>38</v>
      </c>
      <c r="F21" s="6">
        <v>34</v>
      </c>
      <c r="G21" s="8">
        <v>45668</v>
      </c>
      <c r="H21" s="6" t="s">
        <v>28</v>
      </c>
      <c r="I21" s="6">
        <f>Table1[[#This Row],[Harga per Item]]*70%</f>
        <v>197061.19999999998</v>
      </c>
      <c r="J21" s="6">
        <f>Table1[[#This Row],[Harga per Item]]-Table1[[#This Row],[HPP]]</f>
        <v>84454.800000000017</v>
      </c>
      <c r="K21" s="6">
        <f>Table1[[#This Row],[Profit Per Item]]*Table1[[#This Row],[Jumlah Terjual]]</f>
        <v>2871463.2000000007</v>
      </c>
    </row>
    <row r="22" spans="1:11" x14ac:dyDescent="0.3">
      <c r="A22" s="6" t="s">
        <v>11</v>
      </c>
      <c r="B22" s="6" t="s">
        <v>15</v>
      </c>
      <c r="C22" s="7">
        <v>219635</v>
      </c>
      <c r="D22" s="6">
        <v>91</v>
      </c>
      <c r="E22" s="6">
        <v>40</v>
      </c>
      <c r="F22" s="6">
        <v>51</v>
      </c>
      <c r="G22" s="8">
        <v>45664</v>
      </c>
      <c r="H22" s="6" t="s">
        <v>29</v>
      </c>
      <c r="I22" s="6">
        <f>Table1[[#This Row],[Harga per Item]]*70%</f>
        <v>153744.5</v>
      </c>
      <c r="J22" s="6">
        <f>Table1[[#This Row],[Harga per Item]]-Table1[[#This Row],[HPP]]</f>
        <v>65890.5</v>
      </c>
      <c r="K22" s="6">
        <f>Table1[[#This Row],[Profit Per Item]]*Table1[[#This Row],[Jumlah Terjual]]</f>
        <v>3360415.5</v>
      </c>
    </row>
    <row r="23" spans="1:11" x14ac:dyDescent="0.3">
      <c r="A23" s="6" t="s">
        <v>11</v>
      </c>
      <c r="B23" s="6" t="s">
        <v>16</v>
      </c>
      <c r="C23" s="7">
        <v>175804</v>
      </c>
      <c r="D23" s="6">
        <v>187</v>
      </c>
      <c r="E23" s="6">
        <v>57</v>
      </c>
      <c r="F23" s="6">
        <v>130</v>
      </c>
      <c r="G23" s="8">
        <v>45726</v>
      </c>
      <c r="H23" s="6" t="s">
        <v>30</v>
      </c>
      <c r="I23" s="6">
        <f>Table1[[#This Row],[Harga per Item]]*70%</f>
        <v>123062.79999999999</v>
      </c>
      <c r="J23" s="6">
        <f>Table1[[#This Row],[Harga per Item]]-Table1[[#This Row],[HPP]]</f>
        <v>52741.200000000012</v>
      </c>
      <c r="K23" s="6">
        <f>Table1[[#This Row],[Profit Per Item]]*Table1[[#This Row],[Jumlah Terjual]]</f>
        <v>6856356.0000000019</v>
      </c>
    </row>
    <row r="24" spans="1:11" x14ac:dyDescent="0.3">
      <c r="A24" s="6" t="s">
        <v>11</v>
      </c>
      <c r="B24" s="6" t="s">
        <v>14</v>
      </c>
      <c r="C24" s="7">
        <v>281516</v>
      </c>
      <c r="D24" s="6">
        <v>77</v>
      </c>
      <c r="E24" s="6">
        <v>28</v>
      </c>
      <c r="F24" s="6">
        <v>49</v>
      </c>
      <c r="G24" s="8">
        <v>45738</v>
      </c>
      <c r="H24" s="6" t="s">
        <v>28</v>
      </c>
      <c r="I24" s="6">
        <f>Table1[[#This Row],[Harga per Item]]*70%</f>
        <v>197061.19999999998</v>
      </c>
      <c r="J24" s="6">
        <f>Table1[[#This Row],[Harga per Item]]-Table1[[#This Row],[HPP]]</f>
        <v>84454.800000000017</v>
      </c>
      <c r="K24" s="6">
        <f>Table1[[#This Row],[Profit Per Item]]*Table1[[#This Row],[Jumlah Terjual]]</f>
        <v>4138285.2000000007</v>
      </c>
    </row>
    <row r="25" spans="1:11" x14ac:dyDescent="0.3">
      <c r="A25" s="6" t="s">
        <v>11</v>
      </c>
      <c r="B25" s="6" t="s">
        <v>14</v>
      </c>
      <c r="C25" s="7">
        <v>281516</v>
      </c>
      <c r="D25" s="6">
        <v>179</v>
      </c>
      <c r="E25" s="6">
        <v>62</v>
      </c>
      <c r="F25" s="6">
        <v>117</v>
      </c>
      <c r="G25" s="8">
        <v>45845</v>
      </c>
      <c r="H25" s="6" t="s">
        <v>28</v>
      </c>
      <c r="I25" s="6">
        <f>Table1[[#This Row],[Harga per Item]]*70%</f>
        <v>197061.19999999998</v>
      </c>
      <c r="J25" s="6">
        <f>Table1[[#This Row],[Harga per Item]]-Table1[[#This Row],[HPP]]</f>
        <v>84454.800000000017</v>
      </c>
      <c r="K25" s="6">
        <f>Table1[[#This Row],[Profit Per Item]]*Table1[[#This Row],[Jumlah Terjual]]</f>
        <v>9881211.6000000015</v>
      </c>
    </row>
    <row r="26" spans="1:11" x14ac:dyDescent="0.3">
      <c r="A26" s="6" t="s">
        <v>11</v>
      </c>
      <c r="B26" s="6" t="s">
        <v>15</v>
      </c>
      <c r="C26" s="7">
        <v>219635</v>
      </c>
      <c r="D26" s="6">
        <v>43</v>
      </c>
      <c r="E26" s="6">
        <v>13</v>
      </c>
      <c r="F26" s="6">
        <v>30</v>
      </c>
      <c r="G26" s="8">
        <v>45884</v>
      </c>
      <c r="H26" s="6" t="s">
        <v>29</v>
      </c>
      <c r="I26" s="6">
        <f>Table1[[#This Row],[Harga per Item]]*70%</f>
        <v>153744.5</v>
      </c>
      <c r="J26" s="6">
        <f>Table1[[#This Row],[Harga per Item]]-Table1[[#This Row],[HPP]]</f>
        <v>65890.5</v>
      </c>
      <c r="K26" s="6">
        <f>Table1[[#This Row],[Profit Per Item]]*Table1[[#This Row],[Jumlah Terjual]]</f>
        <v>1976715</v>
      </c>
    </row>
    <row r="27" spans="1:11" x14ac:dyDescent="0.3">
      <c r="A27" s="6" t="s">
        <v>11</v>
      </c>
      <c r="B27" s="6" t="s">
        <v>15</v>
      </c>
      <c r="C27" s="7">
        <v>219635</v>
      </c>
      <c r="D27" s="6">
        <v>29</v>
      </c>
      <c r="E27" s="6">
        <v>11</v>
      </c>
      <c r="F27" s="6">
        <v>18</v>
      </c>
      <c r="G27" s="8">
        <v>45920</v>
      </c>
      <c r="H27" s="6" t="s">
        <v>29</v>
      </c>
      <c r="I27" s="6">
        <f>Table1[[#This Row],[Harga per Item]]*70%</f>
        <v>153744.5</v>
      </c>
      <c r="J27" s="6">
        <f>Table1[[#This Row],[Harga per Item]]-Table1[[#This Row],[HPP]]</f>
        <v>65890.5</v>
      </c>
      <c r="K27" s="6">
        <f>Table1[[#This Row],[Profit Per Item]]*Table1[[#This Row],[Jumlah Terjual]]</f>
        <v>1186029</v>
      </c>
    </row>
    <row r="28" spans="1:11" x14ac:dyDescent="0.3">
      <c r="A28" s="6" t="s">
        <v>12</v>
      </c>
      <c r="B28" s="6" t="s">
        <v>17</v>
      </c>
      <c r="C28" s="7">
        <v>144397</v>
      </c>
      <c r="D28" s="6">
        <v>153</v>
      </c>
      <c r="E28" s="6">
        <v>87</v>
      </c>
      <c r="F28" s="6">
        <v>66</v>
      </c>
      <c r="G28" s="8">
        <v>45875</v>
      </c>
      <c r="H28" s="6" t="s">
        <v>31</v>
      </c>
      <c r="I28" s="6">
        <f>Table1[[#This Row],[Harga per Item]]*70%</f>
        <v>101077.9</v>
      </c>
      <c r="J28" s="6">
        <f>Table1[[#This Row],[Harga per Item]]-Table1[[#This Row],[HPP]]</f>
        <v>43319.100000000006</v>
      </c>
      <c r="K28" s="6">
        <f>Table1[[#This Row],[Profit Per Item]]*Table1[[#This Row],[Jumlah Terjual]]</f>
        <v>2859060.6000000006</v>
      </c>
    </row>
    <row r="29" spans="1:11" x14ac:dyDescent="0.3">
      <c r="A29" s="6" t="s">
        <v>12</v>
      </c>
      <c r="B29" s="6" t="s">
        <v>14</v>
      </c>
      <c r="C29" s="7">
        <v>234142</v>
      </c>
      <c r="D29" s="6">
        <v>83</v>
      </c>
      <c r="E29" s="6">
        <v>30</v>
      </c>
      <c r="F29" s="6">
        <v>53</v>
      </c>
      <c r="G29" s="8">
        <v>45789</v>
      </c>
      <c r="H29" s="6" t="s">
        <v>32</v>
      </c>
      <c r="I29" s="6">
        <f>Table1[[#This Row],[Harga per Item]]*70%</f>
        <v>163899.4</v>
      </c>
      <c r="J29" s="6">
        <f>Table1[[#This Row],[Harga per Item]]-Table1[[#This Row],[HPP]]</f>
        <v>70242.600000000006</v>
      </c>
      <c r="K29" s="6">
        <f>Table1[[#This Row],[Profit Per Item]]*Table1[[#This Row],[Jumlah Terjual]]</f>
        <v>3722857.8000000003</v>
      </c>
    </row>
    <row r="30" spans="1:11" x14ac:dyDescent="0.3">
      <c r="A30" s="6" t="s">
        <v>12</v>
      </c>
      <c r="B30" s="6" t="s">
        <v>14</v>
      </c>
      <c r="C30" s="7">
        <v>234142</v>
      </c>
      <c r="D30" s="6">
        <v>189</v>
      </c>
      <c r="E30" s="6">
        <v>89</v>
      </c>
      <c r="F30" s="6">
        <v>100</v>
      </c>
      <c r="G30" s="8">
        <v>45773</v>
      </c>
      <c r="H30" s="6" t="s">
        <v>32</v>
      </c>
      <c r="I30" s="6">
        <f>Table1[[#This Row],[Harga per Item]]*70%</f>
        <v>163899.4</v>
      </c>
      <c r="J30" s="6">
        <f>Table1[[#This Row],[Harga per Item]]-Table1[[#This Row],[HPP]]</f>
        <v>70242.600000000006</v>
      </c>
      <c r="K30" s="6">
        <f>Table1[[#This Row],[Profit Per Item]]*Table1[[#This Row],[Jumlah Terjual]]</f>
        <v>7024260.0000000009</v>
      </c>
    </row>
    <row r="31" spans="1:11" x14ac:dyDescent="0.3">
      <c r="A31" s="6" t="s">
        <v>12</v>
      </c>
      <c r="B31" s="6" t="s">
        <v>14</v>
      </c>
      <c r="C31" s="7">
        <v>234142</v>
      </c>
      <c r="D31" s="6">
        <v>120</v>
      </c>
      <c r="E31" s="6">
        <v>34</v>
      </c>
      <c r="F31" s="6">
        <v>86</v>
      </c>
      <c r="G31" s="8">
        <v>45876</v>
      </c>
      <c r="H31" s="6" t="s">
        <v>32</v>
      </c>
      <c r="I31" s="6">
        <f>Table1[[#This Row],[Harga per Item]]*70%</f>
        <v>163899.4</v>
      </c>
      <c r="J31" s="6">
        <f>Table1[[#This Row],[Harga per Item]]-Table1[[#This Row],[HPP]]</f>
        <v>70242.600000000006</v>
      </c>
      <c r="K31" s="6">
        <f>Table1[[#This Row],[Profit Per Item]]*Table1[[#This Row],[Jumlah Terjual]]</f>
        <v>6040863.6000000006</v>
      </c>
    </row>
    <row r="32" spans="1:11" x14ac:dyDescent="0.3">
      <c r="A32" s="6" t="s">
        <v>12</v>
      </c>
      <c r="B32" s="6" t="s">
        <v>15</v>
      </c>
      <c r="C32" s="7">
        <v>103352</v>
      </c>
      <c r="D32" s="6">
        <v>61</v>
      </c>
      <c r="E32" s="6">
        <v>14</v>
      </c>
      <c r="F32" s="6">
        <v>47</v>
      </c>
      <c r="G32" s="8">
        <v>45706</v>
      </c>
      <c r="H32" s="6" t="s">
        <v>33</v>
      </c>
      <c r="I32" s="6">
        <f>Table1[[#This Row],[Harga per Item]]*70%</f>
        <v>72346.399999999994</v>
      </c>
      <c r="J32" s="6">
        <f>Table1[[#This Row],[Harga per Item]]-Table1[[#This Row],[HPP]]</f>
        <v>31005.600000000006</v>
      </c>
      <c r="K32" s="6">
        <f>Table1[[#This Row],[Profit Per Item]]*Table1[[#This Row],[Jumlah Terjual]]</f>
        <v>1457263.2000000002</v>
      </c>
    </row>
    <row r="33" spans="1:11" x14ac:dyDescent="0.3">
      <c r="A33" s="6" t="s">
        <v>12</v>
      </c>
      <c r="B33" s="6" t="s">
        <v>14</v>
      </c>
      <c r="C33" s="7">
        <v>234142</v>
      </c>
      <c r="D33" s="6">
        <v>106</v>
      </c>
      <c r="E33" s="6">
        <v>37</v>
      </c>
      <c r="F33" s="6">
        <v>69</v>
      </c>
      <c r="G33" s="8">
        <v>45797</v>
      </c>
      <c r="H33" s="6" t="s">
        <v>32</v>
      </c>
      <c r="I33" s="6">
        <f>Table1[[#This Row],[Harga per Item]]*70%</f>
        <v>163899.4</v>
      </c>
      <c r="J33" s="6">
        <f>Table1[[#This Row],[Harga per Item]]-Table1[[#This Row],[HPP]]</f>
        <v>70242.600000000006</v>
      </c>
      <c r="K33" s="6">
        <f>Table1[[#This Row],[Profit Per Item]]*Table1[[#This Row],[Jumlah Terjual]]</f>
        <v>4846739.4000000004</v>
      </c>
    </row>
    <row r="34" spans="1:11" x14ac:dyDescent="0.3">
      <c r="A34" s="6" t="s">
        <v>12</v>
      </c>
      <c r="B34" s="6" t="s">
        <v>14</v>
      </c>
      <c r="C34" s="7">
        <v>234142</v>
      </c>
      <c r="D34" s="6">
        <v>70</v>
      </c>
      <c r="E34" s="6">
        <v>34</v>
      </c>
      <c r="F34" s="6">
        <v>36</v>
      </c>
      <c r="G34" s="8">
        <v>45878</v>
      </c>
      <c r="H34" s="6" t="s">
        <v>32</v>
      </c>
      <c r="I34" s="6">
        <f>Table1[[#This Row],[Harga per Item]]*70%</f>
        <v>163899.4</v>
      </c>
      <c r="J34" s="6">
        <f>Table1[[#This Row],[Harga per Item]]-Table1[[#This Row],[HPP]]</f>
        <v>70242.600000000006</v>
      </c>
      <c r="K34" s="6">
        <f>Table1[[#This Row],[Profit Per Item]]*Table1[[#This Row],[Jumlah Terjual]]</f>
        <v>2528733.6</v>
      </c>
    </row>
    <row r="35" spans="1:11" x14ac:dyDescent="0.3">
      <c r="A35" s="6" t="s">
        <v>12</v>
      </c>
      <c r="B35" s="6" t="s">
        <v>15</v>
      </c>
      <c r="C35" s="7">
        <v>103352</v>
      </c>
      <c r="D35" s="6">
        <v>174</v>
      </c>
      <c r="E35" s="6">
        <v>154</v>
      </c>
      <c r="F35" s="6">
        <v>20</v>
      </c>
      <c r="G35" s="8">
        <v>45780</v>
      </c>
      <c r="H35" s="6" t="s">
        <v>33</v>
      </c>
      <c r="I35" s="6">
        <f>Table1[[#This Row],[Harga per Item]]*70%</f>
        <v>72346.399999999994</v>
      </c>
      <c r="J35" s="6">
        <f>Table1[[#This Row],[Harga per Item]]-Table1[[#This Row],[HPP]]</f>
        <v>31005.600000000006</v>
      </c>
      <c r="K35" s="6">
        <f>Table1[[#This Row],[Profit Per Item]]*Table1[[#This Row],[Jumlah Terjual]]</f>
        <v>620112.00000000012</v>
      </c>
    </row>
    <row r="36" spans="1:11" x14ac:dyDescent="0.3">
      <c r="A36" s="6" t="s">
        <v>12</v>
      </c>
      <c r="B36" s="6" t="s">
        <v>14</v>
      </c>
      <c r="C36" s="7">
        <v>234142</v>
      </c>
      <c r="D36" s="6">
        <v>124</v>
      </c>
      <c r="E36" s="6">
        <v>56</v>
      </c>
      <c r="F36" s="6">
        <v>68</v>
      </c>
      <c r="G36" s="8">
        <v>45791</v>
      </c>
      <c r="H36" s="6" t="s">
        <v>32</v>
      </c>
      <c r="I36" s="6">
        <f>Table1[[#This Row],[Harga per Item]]*70%</f>
        <v>163899.4</v>
      </c>
      <c r="J36" s="6">
        <f>Table1[[#This Row],[Harga per Item]]-Table1[[#This Row],[HPP]]</f>
        <v>70242.600000000006</v>
      </c>
      <c r="K36" s="6">
        <f>Table1[[#This Row],[Profit Per Item]]*Table1[[#This Row],[Jumlah Terjual]]</f>
        <v>4776496.8000000007</v>
      </c>
    </row>
    <row r="37" spans="1:11" x14ac:dyDescent="0.3">
      <c r="A37" s="6" t="s">
        <v>12</v>
      </c>
      <c r="B37" s="6" t="s">
        <v>15</v>
      </c>
      <c r="C37" s="7">
        <v>103352</v>
      </c>
      <c r="D37" s="6">
        <v>86</v>
      </c>
      <c r="E37" s="6">
        <v>79</v>
      </c>
      <c r="F37" s="6">
        <v>7</v>
      </c>
      <c r="G37" s="8">
        <v>45931</v>
      </c>
      <c r="H37" s="6" t="s">
        <v>33</v>
      </c>
      <c r="I37" s="6">
        <f>Table1[[#This Row],[Harga per Item]]*70%</f>
        <v>72346.399999999994</v>
      </c>
      <c r="J37" s="6">
        <f>Table1[[#This Row],[Harga per Item]]-Table1[[#This Row],[HPP]]</f>
        <v>31005.600000000006</v>
      </c>
      <c r="K37" s="6">
        <f>Table1[[#This Row],[Profit Per Item]]*Table1[[#This Row],[Jumlah Terjual]]</f>
        <v>217039.20000000004</v>
      </c>
    </row>
    <row r="38" spans="1:11" x14ac:dyDescent="0.3">
      <c r="A38" s="6" t="s">
        <v>13</v>
      </c>
      <c r="B38" s="6" t="s">
        <v>15</v>
      </c>
      <c r="C38" s="7">
        <v>164975</v>
      </c>
      <c r="D38" s="6">
        <v>33</v>
      </c>
      <c r="E38" s="6">
        <v>18</v>
      </c>
      <c r="F38" s="6">
        <v>15</v>
      </c>
      <c r="G38" s="8">
        <v>45912</v>
      </c>
      <c r="H38" s="6" t="s">
        <v>34</v>
      </c>
      <c r="I38" s="6">
        <f>Table1[[#This Row],[Harga per Item]]*70%</f>
        <v>115482.49999999999</v>
      </c>
      <c r="J38" s="6">
        <f>Table1[[#This Row],[Harga per Item]]-Table1[[#This Row],[HPP]]</f>
        <v>49492.500000000015</v>
      </c>
      <c r="K38" s="6">
        <f>Table1[[#This Row],[Profit Per Item]]*Table1[[#This Row],[Jumlah Terjual]]</f>
        <v>742387.50000000023</v>
      </c>
    </row>
    <row r="39" spans="1:11" x14ac:dyDescent="0.3">
      <c r="A39" s="6" t="s">
        <v>13</v>
      </c>
      <c r="B39" s="6" t="s">
        <v>16</v>
      </c>
      <c r="C39" s="7">
        <v>224602</v>
      </c>
      <c r="D39" s="6">
        <v>103</v>
      </c>
      <c r="E39" s="6">
        <v>62</v>
      </c>
      <c r="F39" s="6">
        <v>41</v>
      </c>
      <c r="G39" s="8">
        <v>45725</v>
      </c>
      <c r="H39" s="6" t="s">
        <v>35</v>
      </c>
      <c r="I39" s="6">
        <f>Table1[[#This Row],[Harga per Item]]*70%</f>
        <v>157221.4</v>
      </c>
      <c r="J39" s="6">
        <f>Table1[[#This Row],[Harga per Item]]-Table1[[#This Row],[HPP]]</f>
        <v>67380.600000000006</v>
      </c>
      <c r="K39" s="6">
        <f>Table1[[#This Row],[Profit Per Item]]*Table1[[#This Row],[Jumlah Terjual]]</f>
        <v>2762604.6</v>
      </c>
    </row>
    <row r="40" spans="1:11" x14ac:dyDescent="0.3">
      <c r="A40" s="6" t="s">
        <v>13</v>
      </c>
      <c r="B40" s="6" t="s">
        <v>17</v>
      </c>
      <c r="C40" s="7">
        <v>126836</v>
      </c>
      <c r="D40" s="6">
        <v>26</v>
      </c>
      <c r="E40" s="6">
        <v>17</v>
      </c>
      <c r="F40" s="6">
        <v>9</v>
      </c>
      <c r="G40" s="8">
        <v>45715</v>
      </c>
      <c r="H40" s="6" t="s">
        <v>36</v>
      </c>
      <c r="I40" s="6">
        <f>Table1[[#This Row],[Harga per Item]]*70%</f>
        <v>88785.2</v>
      </c>
      <c r="J40" s="6">
        <f>Table1[[#This Row],[Harga per Item]]-Table1[[#This Row],[HPP]]</f>
        <v>38050.800000000003</v>
      </c>
      <c r="K40" s="6">
        <f>Table1[[#This Row],[Profit Per Item]]*Table1[[#This Row],[Jumlah Terjual]]</f>
        <v>342457.2</v>
      </c>
    </row>
    <row r="41" spans="1:11" x14ac:dyDescent="0.3">
      <c r="A41" s="6" t="s">
        <v>13</v>
      </c>
      <c r="B41" s="6" t="s">
        <v>16</v>
      </c>
      <c r="C41" s="7">
        <v>224602</v>
      </c>
      <c r="D41" s="6">
        <v>161</v>
      </c>
      <c r="E41" s="6">
        <v>128</v>
      </c>
      <c r="F41" s="6">
        <v>33</v>
      </c>
      <c r="G41" s="8">
        <v>45861</v>
      </c>
      <c r="H41" s="6" t="s">
        <v>35</v>
      </c>
      <c r="I41" s="6">
        <f>Table1[[#This Row],[Harga per Item]]*70%</f>
        <v>157221.4</v>
      </c>
      <c r="J41" s="6">
        <f>Table1[[#This Row],[Harga per Item]]-Table1[[#This Row],[HPP]]</f>
        <v>67380.600000000006</v>
      </c>
      <c r="K41" s="6">
        <f>Table1[[#This Row],[Profit Per Item]]*Table1[[#This Row],[Jumlah Terjual]]</f>
        <v>2223559.8000000003</v>
      </c>
    </row>
    <row r="42" spans="1:11" x14ac:dyDescent="0.3">
      <c r="A42" s="6" t="s">
        <v>13</v>
      </c>
      <c r="B42" s="6" t="s">
        <v>14</v>
      </c>
      <c r="C42" s="7">
        <v>84414</v>
      </c>
      <c r="D42" s="6">
        <v>172</v>
      </c>
      <c r="E42" s="6">
        <v>45</v>
      </c>
      <c r="F42" s="6">
        <v>127</v>
      </c>
      <c r="G42" s="8">
        <v>45676</v>
      </c>
      <c r="H42" s="6" t="s">
        <v>37</v>
      </c>
      <c r="I42" s="6">
        <f>Table1[[#This Row],[Harga per Item]]*70%</f>
        <v>59089.799999999996</v>
      </c>
      <c r="J42" s="6">
        <f>Table1[[#This Row],[Harga per Item]]-Table1[[#This Row],[HPP]]</f>
        <v>25324.200000000004</v>
      </c>
      <c r="K42" s="6">
        <f>Table1[[#This Row],[Profit Per Item]]*Table1[[#This Row],[Jumlah Terjual]]</f>
        <v>3216173.4000000004</v>
      </c>
    </row>
    <row r="43" spans="1:11" x14ac:dyDescent="0.3">
      <c r="A43" s="6" t="s">
        <v>13</v>
      </c>
      <c r="B43" s="6" t="s">
        <v>15</v>
      </c>
      <c r="C43" s="7">
        <v>164975</v>
      </c>
      <c r="D43" s="6">
        <v>178</v>
      </c>
      <c r="E43" s="6">
        <v>96</v>
      </c>
      <c r="F43" s="6">
        <v>82</v>
      </c>
      <c r="G43" s="8">
        <v>45679</v>
      </c>
      <c r="H43" s="6" t="s">
        <v>34</v>
      </c>
      <c r="I43" s="6">
        <f>Table1[[#This Row],[Harga per Item]]*70%</f>
        <v>115482.49999999999</v>
      </c>
      <c r="J43" s="6">
        <f>Table1[[#This Row],[Harga per Item]]-Table1[[#This Row],[HPP]]</f>
        <v>49492.500000000015</v>
      </c>
      <c r="K43" s="6">
        <f>Table1[[#This Row],[Profit Per Item]]*Table1[[#This Row],[Jumlah Terjual]]</f>
        <v>4058385.0000000014</v>
      </c>
    </row>
    <row r="44" spans="1:11" x14ac:dyDescent="0.3">
      <c r="A44" s="6" t="s">
        <v>8</v>
      </c>
      <c r="B44" s="6" t="s">
        <v>14</v>
      </c>
      <c r="C44" s="7">
        <v>261231</v>
      </c>
      <c r="D44" s="6">
        <v>148</v>
      </c>
      <c r="E44" s="6">
        <v>122</v>
      </c>
      <c r="F44" s="6">
        <v>26</v>
      </c>
      <c r="G44" s="8">
        <v>45817</v>
      </c>
      <c r="H44" s="6" t="s">
        <v>18</v>
      </c>
      <c r="I44" s="6">
        <f>Table1[[#This Row],[Harga per Item]]*70%</f>
        <v>182861.69999999998</v>
      </c>
      <c r="J44" s="6">
        <f>Table1[[#This Row],[Harga per Item]]-Table1[[#This Row],[HPP]]</f>
        <v>78369.300000000017</v>
      </c>
      <c r="K44" s="6">
        <f>Table1[[#This Row],[Profit Per Item]]*Table1[[#This Row],[Jumlah Terjual]]</f>
        <v>2037601.8000000005</v>
      </c>
    </row>
    <row r="45" spans="1:11" x14ac:dyDescent="0.3">
      <c r="A45" s="6" t="s">
        <v>8</v>
      </c>
      <c r="B45" s="6" t="s">
        <v>14</v>
      </c>
      <c r="C45" s="7">
        <v>261231</v>
      </c>
      <c r="D45" s="6">
        <v>93</v>
      </c>
      <c r="E45" s="6">
        <v>67</v>
      </c>
      <c r="F45" s="6">
        <v>26</v>
      </c>
      <c r="G45" s="8">
        <v>45748</v>
      </c>
      <c r="H45" s="6" t="s">
        <v>18</v>
      </c>
      <c r="I45" s="6">
        <f>Table1[[#This Row],[Harga per Item]]*70%</f>
        <v>182861.69999999998</v>
      </c>
      <c r="J45" s="6">
        <f>Table1[[#This Row],[Harga per Item]]-Table1[[#This Row],[HPP]]</f>
        <v>78369.300000000017</v>
      </c>
      <c r="K45" s="6">
        <f>Table1[[#This Row],[Profit Per Item]]*Table1[[#This Row],[Jumlah Terjual]]</f>
        <v>2037601.8000000005</v>
      </c>
    </row>
    <row r="46" spans="1:11" x14ac:dyDescent="0.3">
      <c r="A46" s="6" t="s">
        <v>8</v>
      </c>
      <c r="B46" s="6" t="s">
        <v>15</v>
      </c>
      <c r="C46" s="7">
        <v>112901</v>
      </c>
      <c r="D46" s="6">
        <v>41</v>
      </c>
      <c r="E46" s="6">
        <v>28</v>
      </c>
      <c r="F46" s="6">
        <v>13</v>
      </c>
      <c r="G46" s="8">
        <v>45894</v>
      </c>
      <c r="H46" s="6" t="s">
        <v>19</v>
      </c>
      <c r="I46" s="6">
        <f>Table1[[#This Row],[Harga per Item]]*70%</f>
        <v>79030.7</v>
      </c>
      <c r="J46" s="6">
        <f>Table1[[#This Row],[Harga per Item]]-Table1[[#This Row],[HPP]]</f>
        <v>33870.300000000003</v>
      </c>
      <c r="K46" s="6">
        <f>Table1[[#This Row],[Profit Per Item]]*Table1[[#This Row],[Jumlah Terjual]]</f>
        <v>440313.9</v>
      </c>
    </row>
    <row r="47" spans="1:11" x14ac:dyDescent="0.3">
      <c r="A47" s="6" t="s">
        <v>8</v>
      </c>
      <c r="B47" s="6" t="s">
        <v>16</v>
      </c>
      <c r="C47" s="7">
        <v>202650</v>
      </c>
      <c r="D47" s="6">
        <v>160</v>
      </c>
      <c r="E47" s="6">
        <v>49</v>
      </c>
      <c r="F47" s="6">
        <v>111</v>
      </c>
      <c r="G47" s="8">
        <v>45680</v>
      </c>
      <c r="H47" s="6" t="s">
        <v>20</v>
      </c>
      <c r="I47" s="6">
        <f>Table1[[#This Row],[Harga per Item]]*70%</f>
        <v>141855</v>
      </c>
      <c r="J47" s="6">
        <f>Table1[[#This Row],[Harga per Item]]-Table1[[#This Row],[HPP]]</f>
        <v>60795</v>
      </c>
      <c r="K47" s="6">
        <f>Table1[[#This Row],[Profit Per Item]]*Table1[[#This Row],[Jumlah Terjual]]</f>
        <v>6748245</v>
      </c>
    </row>
    <row r="48" spans="1:11" x14ac:dyDescent="0.3">
      <c r="A48" s="6" t="s">
        <v>8</v>
      </c>
      <c r="B48" s="6" t="s">
        <v>14</v>
      </c>
      <c r="C48" s="7">
        <v>261231</v>
      </c>
      <c r="D48" s="6">
        <v>127</v>
      </c>
      <c r="E48" s="6">
        <v>104</v>
      </c>
      <c r="F48" s="6">
        <v>23</v>
      </c>
      <c r="G48" s="8">
        <v>45806</v>
      </c>
      <c r="H48" s="6" t="s">
        <v>18</v>
      </c>
      <c r="I48" s="6">
        <f>Table1[[#This Row],[Harga per Item]]*70%</f>
        <v>182861.69999999998</v>
      </c>
      <c r="J48" s="6">
        <f>Table1[[#This Row],[Harga per Item]]-Table1[[#This Row],[HPP]]</f>
        <v>78369.300000000017</v>
      </c>
      <c r="K48" s="6">
        <f>Table1[[#This Row],[Profit Per Item]]*Table1[[#This Row],[Jumlah Terjual]]</f>
        <v>1802493.9000000004</v>
      </c>
    </row>
    <row r="49" spans="1:11" x14ac:dyDescent="0.3">
      <c r="A49" s="6" t="s">
        <v>8</v>
      </c>
      <c r="B49" s="6" t="s">
        <v>15</v>
      </c>
      <c r="C49" s="7">
        <v>112901</v>
      </c>
      <c r="D49" s="6">
        <v>103</v>
      </c>
      <c r="E49" s="6">
        <v>20</v>
      </c>
      <c r="F49" s="6">
        <v>83</v>
      </c>
      <c r="G49" s="8">
        <v>45938</v>
      </c>
      <c r="H49" s="6" t="s">
        <v>19</v>
      </c>
      <c r="I49" s="6">
        <f>Table1[[#This Row],[Harga per Item]]*70%</f>
        <v>79030.7</v>
      </c>
      <c r="J49" s="6">
        <f>Table1[[#This Row],[Harga per Item]]-Table1[[#This Row],[HPP]]</f>
        <v>33870.300000000003</v>
      </c>
      <c r="K49" s="6">
        <f>Table1[[#This Row],[Profit Per Item]]*Table1[[#This Row],[Jumlah Terjual]]</f>
        <v>2811234.9000000004</v>
      </c>
    </row>
    <row r="50" spans="1:11" x14ac:dyDescent="0.3">
      <c r="A50" s="6" t="s">
        <v>9</v>
      </c>
      <c r="B50" s="6" t="s">
        <v>16</v>
      </c>
      <c r="C50" s="7">
        <v>169407</v>
      </c>
      <c r="D50" s="6">
        <v>179</v>
      </c>
      <c r="E50" s="6">
        <v>38</v>
      </c>
      <c r="F50" s="6">
        <v>141</v>
      </c>
      <c r="G50" s="8">
        <v>45660</v>
      </c>
      <c r="H50" s="6" t="s">
        <v>21</v>
      </c>
      <c r="I50" s="6">
        <f>Table1[[#This Row],[Harga per Item]]*70%</f>
        <v>118584.9</v>
      </c>
      <c r="J50" s="6">
        <f>Table1[[#This Row],[Harga per Item]]-Table1[[#This Row],[HPP]]</f>
        <v>50822.100000000006</v>
      </c>
      <c r="K50" s="6">
        <f>Table1[[#This Row],[Profit Per Item]]*Table1[[#This Row],[Jumlah Terjual]]</f>
        <v>7165916.1000000006</v>
      </c>
    </row>
    <row r="51" spans="1:11" x14ac:dyDescent="0.3">
      <c r="A51" s="6" t="s">
        <v>9</v>
      </c>
      <c r="B51" s="6" t="s">
        <v>17</v>
      </c>
      <c r="C51" s="7">
        <v>135039</v>
      </c>
      <c r="D51" s="6">
        <v>98</v>
      </c>
      <c r="E51" s="6">
        <v>25</v>
      </c>
      <c r="F51" s="6">
        <v>73</v>
      </c>
      <c r="G51" s="8">
        <v>45684</v>
      </c>
      <c r="H51" s="6" t="s">
        <v>22</v>
      </c>
      <c r="I51" s="6">
        <f>Table1[[#This Row],[Harga per Item]]*70%</f>
        <v>94527.299999999988</v>
      </c>
      <c r="J51" s="6">
        <f>Table1[[#This Row],[Harga per Item]]-Table1[[#This Row],[HPP]]</f>
        <v>40511.700000000012</v>
      </c>
      <c r="K51" s="6">
        <f>Table1[[#This Row],[Profit Per Item]]*Table1[[#This Row],[Jumlah Terjual]]</f>
        <v>2957354.100000001</v>
      </c>
    </row>
    <row r="52" spans="1:11" x14ac:dyDescent="0.3">
      <c r="A52" s="6" t="s">
        <v>9</v>
      </c>
      <c r="B52" s="6" t="s">
        <v>15</v>
      </c>
      <c r="C52" s="7">
        <v>163424</v>
      </c>
      <c r="D52" s="6">
        <v>144</v>
      </c>
      <c r="E52" s="6">
        <v>129</v>
      </c>
      <c r="F52" s="6">
        <v>15</v>
      </c>
      <c r="G52" s="8">
        <v>45782</v>
      </c>
      <c r="H52" s="6" t="s">
        <v>23</v>
      </c>
      <c r="I52" s="6">
        <f>Table1[[#This Row],[Harga per Item]]*70%</f>
        <v>114396.79999999999</v>
      </c>
      <c r="J52" s="6">
        <f>Table1[[#This Row],[Harga per Item]]-Table1[[#This Row],[HPP]]</f>
        <v>49027.200000000012</v>
      </c>
      <c r="K52" s="6">
        <f>Table1[[#This Row],[Profit Per Item]]*Table1[[#This Row],[Jumlah Terjual]]</f>
        <v>735408.00000000023</v>
      </c>
    </row>
    <row r="53" spans="1:11" x14ac:dyDescent="0.3">
      <c r="A53" s="6" t="s">
        <v>9</v>
      </c>
      <c r="B53" s="6" t="s">
        <v>16</v>
      </c>
      <c r="C53" s="7">
        <v>169407</v>
      </c>
      <c r="D53" s="6">
        <v>120</v>
      </c>
      <c r="E53" s="6">
        <v>114</v>
      </c>
      <c r="F53" s="6">
        <v>6</v>
      </c>
      <c r="G53" s="8">
        <v>45665</v>
      </c>
      <c r="H53" s="6" t="s">
        <v>21</v>
      </c>
      <c r="I53" s="6">
        <f>Table1[[#This Row],[Harga per Item]]*70%</f>
        <v>118584.9</v>
      </c>
      <c r="J53" s="6">
        <f>Table1[[#This Row],[Harga per Item]]-Table1[[#This Row],[HPP]]</f>
        <v>50822.100000000006</v>
      </c>
      <c r="K53" s="6">
        <f>Table1[[#This Row],[Profit Per Item]]*Table1[[#This Row],[Jumlah Terjual]]</f>
        <v>304932.60000000003</v>
      </c>
    </row>
    <row r="54" spans="1:11" x14ac:dyDescent="0.3">
      <c r="A54" s="6" t="s">
        <v>9</v>
      </c>
      <c r="B54" s="6" t="s">
        <v>14</v>
      </c>
      <c r="C54" s="7">
        <v>183484</v>
      </c>
      <c r="D54" s="6">
        <v>61</v>
      </c>
      <c r="E54" s="6">
        <v>36</v>
      </c>
      <c r="F54" s="6">
        <v>25</v>
      </c>
      <c r="G54" s="8">
        <v>45737</v>
      </c>
      <c r="H54" s="6" t="s">
        <v>24</v>
      </c>
      <c r="I54" s="6">
        <f>Table1[[#This Row],[Harga per Item]]*70%</f>
        <v>128438.79999999999</v>
      </c>
      <c r="J54" s="6">
        <f>Table1[[#This Row],[Harga per Item]]-Table1[[#This Row],[HPP]]</f>
        <v>55045.200000000012</v>
      </c>
      <c r="K54" s="6">
        <f>Table1[[#This Row],[Profit Per Item]]*Table1[[#This Row],[Jumlah Terjual]]</f>
        <v>1376130.0000000002</v>
      </c>
    </row>
    <row r="55" spans="1:11" x14ac:dyDescent="0.3">
      <c r="A55" s="6" t="s">
        <v>9</v>
      </c>
      <c r="B55" s="6" t="s">
        <v>14</v>
      </c>
      <c r="C55" s="7">
        <v>183484</v>
      </c>
      <c r="D55" s="6">
        <v>43</v>
      </c>
      <c r="E55" s="6">
        <v>15</v>
      </c>
      <c r="F55" s="6">
        <v>28</v>
      </c>
      <c r="G55" s="8">
        <v>45666</v>
      </c>
      <c r="H55" s="6" t="s">
        <v>24</v>
      </c>
      <c r="I55" s="6">
        <f>Table1[[#This Row],[Harga per Item]]*70%</f>
        <v>128438.79999999999</v>
      </c>
      <c r="J55" s="6">
        <f>Table1[[#This Row],[Harga per Item]]-Table1[[#This Row],[HPP]]</f>
        <v>55045.200000000012</v>
      </c>
      <c r="K55" s="6">
        <f>Table1[[#This Row],[Profit Per Item]]*Table1[[#This Row],[Jumlah Terjual]]</f>
        <v>1541265.6000000003</v>
      </c>
    </row>
    <row r="56" spans="1:11" x14ac:dyDescent="0.3">
      <c r="A56" s="6" t="s">
        <v>10</v>
      </c>
      <c r="B56" s="6" t="s">
        <v>17</v>
      </c>
      <c r="C56" s="7">
        <v>128935</v>
      </c>
      <c r="D56" s="6">
        <v>37</v>
      </c>
      <c r="E56" s="6">
        <v>16</v>
      </c>
      <c r="F56" s="6">
        <v>21</v>
      </c>
      <c r="G56" s="8">
        <v>45911</v>
      </c>
      <c r="H56" s="6" t="s">
        <v>25</v>
      </c>
      <c r="I56" s="6">
        <f>Table1[[#This Row],[Harga per Item]]*70%</f>
        <v>90254.5</v>
      </c>
      <c r="J56" s="6">
        <f>Table1[[#This Row],[Harga per Item]]-Table1[[#This Row],[HPP]]</f>
        <v>38680.5</v>
      </c>
      <c r="K56" s="6">
        <f>Table1[[#This Row],[Profit Per Item]]*Table1[[#This Row],[Jumlah Terjual]]</f>
        <v>812290.5</v>
      </c>
    </row>
    <row r="57" spans="1:11" x14ac:dyDescent="0.3">
      <c r="A57" s="6" t="s">
        <v>10</v>
      </c>
      <c r="B57" s="6" t="s">
        <v>15</v>
      </c>
      <c r="C57" s="7">
        <v>210921</v>
      </c>
      <c r="D57" s="6">
        <v>82</v>
      </c>
      <c r="E57" s="6">
        <v>75</v>
      </c>
      <c r="F57" s="6">
        <v>7</v>
      </c>
      <c r="G57" s="8">
        <v>45809</v>
      </c>
      <c r="H57" s="6" t="s">
        <v>26</v>
      </c>
      <c r="I57" s="6">
        <f>Table1[[#This Row],[Harga per Item]]*70%</f>
        <v>147644.69999999998</v>
      </c>
      <c r="J57" s="6">
        <f>Table1[[#This Row],[Harga per Item]]-Table1[[#This Row],[HPP]]</f>
        <v>63276.300000000017</v>
      </c>
      <c r="K57" s="6">
        <f>Table1[[#This Row],[Profit Per Item]]*Table1[[#This Row],[Jumlah Terjual]]</f>
        <v>442934.10000000009</v>
      </c>
    </row>
    <row r="58" spans="1:11" x14ac:dyDescent="0.3">
      <c r="A58" s="6" t="s">
        <v>10</v>
      </c>
      <c r="B58" s="6" t="s">
        <v>17</v>
      </c>
      <c r="C58" s="7">
        <v>128935</v>
      </c>
      <c r="D58" s="6">
        <v>147</v>
      </c>
      <c r="E58" s="6">
        <v>58</v>
      </c>
      <c r="F58" s="6">
        <v>89</v>
      </c>
      <c r="G58" s="8">
        <v>45818</v>
      </c>
      <c r="H58" s="6" t="s">
        <v>25</v>
      </c>
      <c r="I58" s="6">
        <f>Table1[[#This Row],[Harga per Item]]*70%</f>
        <v>90254.5</v>
      </c>
      <c r="J58" s="6">
        <f>Table1[[#This Row],[Harga per Item]]-Table1[[#This Row],[HPP]]</f>
        <v>38680.5</v>
      </c>
      <c r="K58" s="6">
        <f>Table1[[#This Row],[Profit Per Item]]*Table1[[#This Row],[Jumlah Terjual]]</f>
        <v>3442564.5</v>
      </c>
    </row>
    <row r="59" spans="1:11" x14ac:dyDescent="0.3">
      <c r="A59" s="6" t="s">
        <v>10</v>
      </c>
      <c r="B59" s="6" t="s">
        <v>15</v>
      </c>
      <c r="C59" s="7">
        <v>210921</v>
      </c>
      <c r="D59" s="6">
        <v>89</v>
      </c>
      <c r="E59" s="6">
        <v>47</v>
      </c>
      <c r="F59" s="6">
        <v>42</v>
      </c>
      <c r="G59" s="8">
        <v>45754</v>
      </c>
      <c r="H59" s="6" t="s">
        <v>26</v>
      </c>
      <c r="I59" s="6">
        <f>Table1[[#This Row],[Harga per Item]]*70%</f>
        <v>147644.69999999998</v>
      </c>
      <c r="J59" s="6">
        <f>Table1[[#This Row],[Harga per Item]]-Table1[[#This Row],[HPP]]</f>
        <v>63276.300000000017</v>
      </c>
      <c r="K59" s="6">
        <f>Table1[[#This Row],[Profit Per Item]]*Table1[[#This Row],[Jumlah Terjual]]</f>
        <v>2657604.6000000006</v>
      </c>
    </row>
    <row r="60" spans="1:11" x14ac:dyDescent="0.3">
      <c r="A60" s="6" t="s">
        <v>10</v>
      </c>
      <c r="B60" s="6" t="s">
        <v>15</v>
      </c>
      <c r="C60" s="7">
        <v>210921</v>
      </c>
      <c r="D60" s="6">
        <v>73</v>
      </c>
      <c r="E60" s="6">
        <v>48</v>
      </c>
      <c r="F60" s="6">
        <v>25</v>
      </c>
      <c r="G60" s="8">
        <v>45702</v>
      </c>
      <c r="H60" s="6" t="s">
        <v>26</v>
      </c>
      <c r="I60" s="6">
        <f>Table1[[#This Row],[Harga per Item]]*70%</f>
        <v>147644.69999999998</v>
      </c>
      <c r="J60" s="6">
        <f>Table1[[#This Row],[Harga per Item]]-Table1[[#This Row],[HPP]]</f>
        <v>63276.300000000017</v>
      </c>
      <c r="K60" s="6">
        <f>Table1[[#This Row],[Profit Per Item]]*Table1[[#This Row],[Jumlah Terjual]]</f>
        <v>1581907.5000000005</v>
      </c>
    </row>
    <row r="61" spans="1:11" x14ac:dyDescent="0.3">
      <c r="A61" s="6" t="s">
        <v>10</v>
      </c>
      <c r="B61" s="6" t="s">
        <v>17</v>
      </c>
      <c r="C61" s="7">
        <v>128935</v>
      </c>
      <c r="D61" s="6">
        <v>113</v>
      </c>
      <c r="E61" s="6">
        <v>93</v>
      </c>
      <c r="F61" s="6">
        <v>20</v>
      </c>
      <c r="G61" s="8">
        <v>45861</v>
      </c>
      <c r="H61" s="6" t="s">
        <v>25</v>
      </c>
      <c r="I61" s="6">
        <f>Table1[[#This Row],[Harga per Item]]*70%</f>
        <v>90254.5</v>
      </c>
      <c r="J61" s="6">
        <f>Table1[[#This Row],[Harga per Item]]-Table1[[#This Row],[HPP]]</f>
        <v>38680.5</v>
      </c>
      <c r="K61" s="6">
        <f>Table1[[#This Row],[Profit Per Item]]*Table1[[#This Row],[Jumlah Terjual]]</f>
        <v>773610</v>
      </c>
    </row>
    <row r="62" spans="1:11" x14ac:dyDescent="0.3">
      <c r="A62" s="6" t="s">
        <v>10</v>
      </c>
      <c r="B62" s="6" t="s">
        <v>14</v>
      </c>
      <c r="C62" s="7">
        <v>139317</v>
      </c>
      <c r="D62" s="6">
        <v>130</v>
      </c>
      <c r="E62" s="6">
        <v>96</v>
      </c>
      <c r="F62" s="6">
        <v>34</v>
      </c>
      <c r="G62" s="8">
        <v>45751</v>
      </c>
      <c r="H62" s="6" t="s">
        <v>27</v>
      </c>
      <c r="I62" s="6">
        <f>Table1[[#This Row],[Harga per Item]]*70%</f>
        <v>97521.9</v>
      </c>
      <c r="J62" s="6">
        <f>Table1[[#This Row],[Harga per Item]]-Table1[[#This Row],[HPP]]</f>
        <v>41795.100000000006</v>
      </c>
      <c r="K62" s="6">
        <f>Table1[[#This Row],[Profit Per Item]]*Table1[[#This Row],[Jumlah Terjual]]</f>
        <v>1421033.4000000001</v>
      </c>
    </row>
    <row r="63" spans="1:11" x14ac:dyDescent="0.3">
      <c r="A63" s="6" t="s">
        <v>11</v>
      </c>
      <c r="B63" s="6" t="s">
        <v>14</v>
      </c>
      <c r="C63" s="7">
        <v>281516</v>
      </c>
      <c r="D63" s="6">
        <v>72</v>
      </c>
      <c r="E63" s="6">
        <v>38</v>
      </c>
      <c r="F63" s="6">
        <v>34</v>
      </c>
      <c r="G63" s="8">
        <v>45668</v>
      </c>
      <c r="H63" s="6" t="s">
        <v>28</v>
      </c>
      <c r="I63" s="6">
        <f>Table1[[#This Row],[Harga per Item]]*70%</f>
        <v>197061.19999999998</v>
      </c>
      <c r="J63" s="6">
        <f>Table1[[#This Row],[Harga per Item]]-Table1[[#This Row],[HPP]]</f>
        <v>84454.800000000017</v>
      </c>
      <c r="K63" s="6">
        <f>Table1[[#This Row],[Profit Per Item]]*Table1[[#This Row],[Jumlah Terjual]]</f>
        <v>2871463.2000000007</v>
      </c>
    </row>
    <row r="64" spans="1:11" x14ac:dyDescent="0.3">
      <c r="A64" s="6" t="s">
        <v>11</v>
      </c>
      <c r="B64" s="6" t="s">
        <v>15</v>
      </c>
      <c r="C64" s="7">
        <v>219635</v>
      </c>
      <c r="D64" s="6">
        <v>91</v>
      </c>
      <c r="E64" s="6">
        <v>40</v>
      </c>
      <c r="F64" s="6">
        <v>51</v>
      </c>
      <c r="G64" s="8">
        <v>45664</v>
      </c>
      <c r="H64" s="6" t="s">
        <v>29</v>
      </c>
      <c r="I64" s="6">
        <f>Table1[[#This Row],[Harga per Item]]*70%</f>
        <v>153744.5</v>
      </c>
      <c r="J64" s="6">
        <f>Table1[[#This Row],[Harga per Item]]-Table1[[#This Row],[HPP]]</f>
        <v>65890.5</v>
      </c>
      <c r="K64" s="6">
        <f>Table1[[#This Row],[Profit Per Item]]*Table1[[#This Row],[Jumlah Terjual]]</f>
        <v>3360415.5</v>
      </c>
    </row>
    <row r="65" spans="1:11" x14ac:dyDescent="0.3">
      <c r="A65" s="6" t="s">
        <v>11</v>
      </c>
      <c r="B65" s="6" t="s">
        <v>16</v>
      </c>
      <c r="C65" s="7">
        <v>175804</v>
      </c>
      <c r="D65" s="6">
        <v>187</v>
      </c>
      <c r="E65" s="6">
        <v>57</v>
      </c>
      <c r="F65" s="6">
        <v>130</v>
      </c>
      <c r="G65" s="8">
        <v>45726</v>
      </c>
      <c r="H65" s="6" t="s">
        <v>30</v>
      </c>
      <c r="I65" s="6">
        <f>Table1[[#This Row],[Harga per Item]]*70%</f>
        <v>123062.79999999999</v>
      </c>
      <c r="J65" s="6">
        <f>Table1[[#This Row],[Harga per Item]]-Table1[[#This Row],[HPP]]</f>
        <v>52741.200000000012</v>
      </c>
      <c r="K65" s="6">
        <f>Table1[[#This Row],[Profit Per Item]]*Table1[[#This Row],[Jumlah Terjual]]</f>
        <v>6856356.0000000019</v>
      </c>
    </row>
    <row r="66" spans="1:11" x14ac:dyDescent="0.3">
      <c r="A66" s="6" t="s">
        <v>11</v>
      </c>
      <c r="B66" s="6" t="s">
        <v>14</v>
      </c>
      <c r="C66" s="7">
        <v>281516</v>
      </c>
      <c r="D66" s="6">
        <v>77</v>
      </c>
      <c r="E66" s="6">
        <v>28</v>
      </c>
      <c r="F66" s="6">
        <v>49</v>
      </c>
      <c r="G66" s="8">
        <v>45738</v>
      </c>
      <c r="H66" s="6" t="s">
        <v>28</v>
      </c>
      <c r="I66" s="6">
        <f>Table1[[#This Row],[Harga per Item]]*70%</f>
        <v>197061.19999999998</v>
      </c>
      <c r="J66" s="6">
        <f>Table1[[#This Row],[Harga per Item]]-Table1[[#This Row],[HPP]]</f>
        <v>84454.800000000017</v>
      </c>
      <c r="K66" s="6">
        <f>Table1[[#This Row],[Profit Per Item]]*Table1[[#This Row],[Jumlah Terjual]]</f>
        <v>4138285.2000000007</v>
      </c>
    </row>
    <row r="67" spans="1:11" x14ac:dyDescent="0.3">
      <c r="A67" s="6" t="s">
        <v>11</v>
      </c>
      <c r="B67" s="6" t="s">
        <v>14</v>
      </c>
      <c r="C67" s="7">
        <v>281516</v>
      </c>
      <c r="D67" s="6">
        <v>179</v>
      </c>
      <c r="E67" s="6">
        <v>62</v>
      </c>
      <c r="F67" s="6">
        <v>117</v>
      </c>
      <c r="G67" s="8">
        <v>45845</v>
      </c>
      <c r="H67" s="6" t="s">
        <v>28</v>
      </c>
      <c r="I67" s="6">
        <f>Table1[[#This Row],[Harga per Item]]*70%</f>
        <v>197061.19999999998</v>
      </c>
      <c r="J67" s="6">
        <f>Table1[[#This Row],[Harga per Item]]-Table1[[#This Row],[HPP]]</f>
        <v>84454.800000000017</v>
      </c>
      <c r="K67" s="6">
        <f>Table1[[#This Row],[Profit Per Item]]*Table1[[#This Row],[Jumlah Terjual]]</f>
        <v>9881211.6000000015</v>
      </c>
    </row>
    <row r="68" spans="1:11" x14ac:dyDescent="0.3">
      <c r="A68" s="6" t="s">
        <v>11</v>
      </c>
      <c r="B68" s="6" t="s">
        <v>15</v>
      </c>
      <c r="C68" s="7">
        <v>219635</v>
      </c>
      <c r="D68" s="6">
        <v>43</v>
      </c>
      <c r="E68" s="6">
        <v>13</v>
      </c>
      <c r="F68" s="6">
        <v>30</v>
      </c>
      <c r="G68" s="8">
        <v>45884</v>
      </c>
      <c r="H68" s="6" t="s">
        <v>29</v>
      </c>
      <c r="I68" s="6">
        <f>Table1[[#This Row],[Harga per Item]]*70%</f>
        <v>153744.5</v>
      </c>
      <c r="J68" s="6">
        <f>Table1[[#This Row],[Harga per Item]]-Table1[[#This Row],[HPP]]</f>
        <v>65890.5</v>
      </c>
      <c r="K68" s="6">
        <f>Table1[[#This Row],[Profit Per Item]]*Table1[[#This Row],[Jumlah Terjual]]</f>
        <v>1976715</v>
      </c>
    </row>
    <row r="69" spans="1:11" x14ac:dyDescent="0.3">
      <c r="A69" s="6" t="s">
        <v>11</v>
      </c>
      <c r="B69" s="6" t="s">
        <v>15</v>
      </c>
      <c r="C69" s="7">
        <v>219635</v>
      </c>
      <c r="D69" s="6">
        <v>29</v>
      </c>
      <c r="E69" s="6">
        <v>11</v>
      </c>
      <c r="F69" s="6">
        <v>18</v>
      </c>
      <c r="G69" s="8">
        <v>45920</v>
      </c>
      <c r="H69" s="6" t="s">
        <v>29</v>
      </c>
      <c r="I69" s="6">
        <f>Table1[[#This Row],[Harga per Item]]*70%</f>
        <v>153744.5</v>
      </c>
      <c r="J69" s="6">
        <f>Table1[[#This Row],[Harga per Item]]-Table1[[#This Row],[HPP]]</f>
        <v>65890.5</v>
      </c>
      <c r="K69" s="6">
        <f>Table1[[#This Row],[Profit Per Item]]*Table1[[#This Row],[Jumlah Terjual]]</f>
        <v>1186029</v>
      </c>
    </row>
    <row r="70" spans="1:11" x14ac:dyDescent="0.3">
      <c r="A70" s="6" t="s">
        <v>12</v>
      </c>
      <c r="B70" s="6" t="s">
        <v>17</v>
      </c>
      <c r="C70" s="7">
        <v>144397</v>
      </c>
      <c r="D70" s="6">
        <v>153</v>
      </c>
      <c r="E70" s="6">
        <v>87</v>
      </c>
      <c r="F70" s="6">
        <v>66</v>
      </c>
      <c r="G70" s="8">
        <v>45875</v>
      </c>
      <c r="H70" s="6" t="s">
        <v>31</v>
      </c>
      <c r="I70" s="6">
        <f>Table1[[#This Row],[Harga per Item]]*70%</f>
        <v>101077.9</v>
      </c>
      <c r="J70" s="6">
        <f>Table1[[#This Row],[Harga per Item]]-Table1[[#This Row],[HPP]]</f>
        <v>43319.100000000006</v>
      </c>
      <c r="K70" s="6">
        <f>Table1[[#This Row],[Profit Per Item]]*Table1[[#This Row],[Jumlah Terjual]]</f>
        <v>2859060.6000000006</v>
      </c>
    </row>
    <row r="71" spans="1:11" x14ac:dyDescent="0.3">
      <c r="A71" s="6" t="s">
        <v>12</v>
      </c>
      <c r="B71" s="6" t="s">
        <v>14</v>
      </c>
      <c r="C71" s="7">
        <v>234142</v>
      </c>
      <c r="D71" s="6">
        <v>83</v>
      </c>
      <c r="E71" s="6">
        <v>30</v>
      </c>
      <c r="F71" s="6">
        <v>53</v>
      </c>
      <c r="G71" s="8">
        <v>45789</v>
      </c>
      <c r="H71" s="6" t="s">
        <v>32</v>
      </c>
      <c r="I71" s="6">
        <f>Table1[[#This Row],[Harga per Item]]*70%</f>
        <v>163899.4</v>
      </c>
      <c r="J71" s="6">
        <f>Table1[[#This Row],[Harga per Item]]-Table1[[#This Row],[HPP]]</f>
        <v>70242.600000000006</v>
      </c>
      <c r="K71" s="6">
        <f>Table1[[#This Row],[Profit Per Item]]*Table1[[#This Row],[Jumlah Terjual]]</f>
        <v>3722857.8000000003</v>
      </c>
    </row>
    <row r="72" spans="1:11" x14ac:dyDescent="0.3">
      <c r="A72" s="6" t="s">
        <v>12</v>
      </c>
      <c r="B72" s="6" t="s">
        <v>14</v>
      </c>
      <c r="C72" s="7">
        <v>234142</v>
      </c>
      <c r="D72" s="6">
        <v>189</v>
      </c>
      <c r="E72" s="6">
        <v>89</v>
      </c>
      <c r="F72" s="6">
        <v>100</v>
      </c>
      <c r="G72" s="8">
        <v>45773</v>
      </c>
      <c r="H72" s="6" t="s">
        <v>32</v>
      </c>
      <c r="I72" s="6">
        <f>Table1[[#This Row],[Harga per Item]]*70%</f>
        <v>163899.4</v>
      </c>
      <c r="J72" s="6">
        <f>Table1[[#This Row],[Harga per Item]]-Table1[[#This Row],[HPP]]</f>
        <v>70242.600000000006</v>
      </c>
      <c r="K72" s="6">
        <f>Table1[[#This Row],[Profit Per Item]]*Table1[[#This Row],[Jumlah Terjual]]</f>
        <v>7024260.0000000009</v>
      </c>
    </row>
    <row r="73" spans="1:11" x14ac:dyDescent="0.3">
      <c r="A73" s="6" t="s">
        <v>12</v>
      </c>
      <c r="B73" s="6" t="s">
        <v>14</v>
      </c>
      <c r="C73" s="7">
        <v>234142</v>
      </c>
      <c r="D73" s="6">
        <v>120</v>
      </c>
      <c r="E73" s="6">
        <v>34</v>
      </c>
      <c r="F73" s="6">
        <v>86</v>
      </c>
      <c r="G73" s="8">
        <v>45876</v>
      </c>
      <c r="H73" s="6" t="s">
        <v>32</v>
      </c>
      <c r="I73" s="6">
        <f>Table1[[#This Row],[Harga per Item]]*70%</f>
        <v>163899.4</v>
      </c>
      <c r="J73" s="6">
        <f>Table1[[#This Row],[Harga per Item]]-Table1[[#This Row],[HPP]]</f>
        <v>70242.600000000006</v>
      </c>
      <c r="K73" s="6">
        <f>Table1[[#This Row],[Profit Per Item]]*Table1[[#This Row],[Jumlah Terjual]]</f>
        <v>6040863.6000000006</v>
      </c>
    </row>
    <row r="74" spans="1:11" x14ac:dyDescent="0.3">
      <c r="A74" s="6" t="s">
        <v>12</v>
      </c>
      <c r="B74" s="6" t="s">
        <v>15</v>
      </c>
      <c r="C74" s="7">
        <v>103352</v>
      </c>
      <c r="D74" s="6">
        <v>61</v>
      </c>
      <c r="E74" s="6">
        <v>14</v>
      </c>
      <c r="F74" s="6">
        <v>47</v>
      </c>
      <c r="G74" s="8">
        <v>45706</v>
      </c>
      <c r="H74" s="6" t="s">
        <v>33</v>
      </c>
      <c r="I74" s="6">
        <f>Table1[[#This Row],[Harga per Item]]*70%</f>
        <v>72346.399999999994</v>
      </c>
      <c r="J74" s="6">
        <f>Table1[[#This Row],[Harga per Item]]-Table1[[#This Row],[HPP]]</f>
        <v>31005.600000000006</v>
      </c>
      <c r="K74" s="6">
        <f>Table1[[#This Row],[Profit Per Item]]*Table1[[#This Row],[Jumlah Terjual]]</f>
        <v>1457263.2000000002</v>
      </c>
    </row>
    <row r="75" spans="1:11" x14ac:dyDescent="0.3">
      <c r="A75" s="6" t="s">
        <v>12</v>
      </c>
      <c r="B75" s="6" t="s">
        <v>14</v>
      </c>
      <c r="C75" s="7">
        <v>234142</v>
      </c>
      <c r="D75" s="6">
        <v>106</v>
      </c>
      <c r="E75" s="6">
        <v>37</v>
      </c>
      <c r="F75" s="6">
        <v>69</v>
      </c>
      <c r="G75" s="8">
        <v>45797</v>
      </c>
      <c r="H75" s="6" t="s">
        <v>32</v>
      </c>
      <c r="I75" s="6">
        <f>Table1[[#This Row],[Harga per Item]]*70%</f>
        <v>163899.4</v>
      </c>
      <c r="J75" s="6">
        <f>Table1[[#This Row],[Harga per Item]]-Table1[[#This Row],[HPP]]</f>
        <v>70242.600000000006</v>
      </c>
      <c r="K75" s="6">
        <f>Table1[[#This Row],[Profit Per Item]]*Table1[[#This Row],[Jumlah Terjual]]</f>
        <v>4846739.4000000004</v>
      </c>
    </row>
    <row r="76" spans="1:11" x14ac:dyDescent="0.3">
      <c r="A76" s="6" t="s">
        <v>12</v>
      </c>
      <c r="B76" s="6" t="s">
        <v>14</v>
      </c>
      <c r="C76" s="7">
        <v>234142</v>
      </c>
      <c r="D76" s="6">
        <v>70</v>
      </c>
      <c r="E76" s="6">
        <v>34</v>
      </c>
      <c r="F76" s="6">
        <v>36</v>
      </c>
      <c r="G76" s="8">
        <v>45878</v>
      </c>
      <c r="H76" s="6" t="s">
        <v>32</v>
      </c>
      <c r="I76" s="6">
        <f>Table1[[#This Row],[Harga per Item]]*70%</f>
        <v>163899.4</v>
      </c>
      <c r="J76" s="6">
        <f>Table1[[#This Row],[Harga per Item]]-Table1[[#This Row],[HPP]]</f>
        <v>70242.600000000006</v>
      </c>
      <c r="K76" s="6">
        <f>Table1[[#This Row],[Profit Per Item]]*Table1[[#This Row],[Jumlah Terjual]]</f>
        <v>2528733.6</v>
      </c>
    </row>
    <row r="77" spans="1:11" x14ac:dyDescent="0.3">
      <c r="A77" s="6" t="s">
        <v>12</v>
      </c>
      <c r="B77" s="6" t="s">
        <v>15</v>
      </c>
      <c r="C77" s="7">
        <v>103352</v>
      </c>
      <c r="D77" s="6">
        <v>174</v>
      </c>
      <c r="E77" s="6">
        <v>154</v>
      </c>
      <c r="F77" s="6">
        <v>20</v>
      </c>
      <c r="G77" s="8">
        <v>45780</v>
      </c>
      <c r="H77" s="6" t="s">
        <v>33</v>
      </c>
      <c r="I77" s="6">
        <f>Table1[[#This Row],[Harga per Item]]*70%</f>
        <v>72346.399999999994</v>
      </c>
      <c r="J77" s="6">
        <f>Table1[[#This Row],[Harga per Item]]-Table1[[#This Row],[HPP]]</f>
        <v>31005.600000000006</v>
      </c>
      <c r="K77" s="6">
        <f>Table1[[#This Row],[Profit Per Item]]*Table1[[#This Row],[Jumlah Terjual]]</f>
        <v>620112.00000000012</v>
      </c>
    </row>
    <row r="78" spans="1:11" x14ac:dyDescent="0.3">
      <c r="A78" s="6" t="s">
        <v>12</v>
      </c>
      <c r="B78" s="6" t="s">
        <v>14</v>
      </c>
      <c r="C78" s="7">
        <v>234142</v>
      </c>
      <c r="D78" s="6">
        <v>124</v>
      </c>
      <c r="E78" s="6">
        <v>56</v>
      </c>
      <c r="F78" s="6">
        <v>68</v>
      </c>
      <c r="G78" s="8">
        <v>45791</v>
      </c>
      <c r="H78" s="6" t="s">
        <v>32</v>
      </c>
      <c r="I78" s="6">
        <f>Table1[[#This Row],[Harga per Item]]*70%</f>
        <v>163899.4</v>
      </c>
      <c r="J78" s="6">
        <f>Table1[[#This Row],[Harga per Item]]-Table1[[#This Row],[HPP]]</f>
        <v>70242.600000000006</v>
      </c>
      <c r="K78" s="6">
        <f>Table1[[#This Row],[Profit Per Item]]*Table1[[#This Row],[Jumlah Terjual]]</f>
        <v>4776496.8000000007</v>
      </c>
    </row>
    <row r="79" spans="1:11" x14ac:dyDescent="0.3">
      <c r="A79" s="6" t="s">
        <v>12</v>
      </c>
      <c r="B79" s="6" t="s">
        <v>15</v>
      </c>
      <c r="C79" s="7">
        <v>103352</v>
      </c>
      <c r="D79" s="6">
        <v>86</v>
      </c>
      <c r="E79" s="6">
        <v>79</v>
      </c>
      <c r="F79" s="6">
        <v>7</v>
      </c>
      <c r="G79" s="8">
        <v>45931</v>
      </c>
      <c r="H79" s="6" t="s">
        <v>33</v>
      </c>
      <c r="I79" s="6">
        <f>Table1[[#This Row],[Harga per Item]]*70%</f>
        <v>72346.399999999994</v>
      </c>
      <c r="J79" s="6">
        <f>Table1[[#This Row],[Harga per Item]]-Table1[[#This Row],[HPP]]</f>
        <v>31005.600000000006</v>
      </c>
      <c r="K79" s="6">
        <f>Table1[[#This Row],[Profit Per Item]]*Table1[[#This Row],[Jumlah Terjual]]</f>
        <v>217039.20000000004</v>
      </c>
    </row>
    <row r="80" spans="1:11" x14ac:dyDescent="0.3">
      <c r="A80" s="6" t="s">
        <v>13</v>
      </c>
      <c r="B80" s="6" t="s">
        <v>15</v>
      </c>
      <c r="C80" s="7">
        <v>164975</v>
      </c>
      <c r="D80" s="6">
        <v>33</v>
      </c>
      <c r="E80" s="6">
        <v>18</v>
      </c>
      <c r="F80" s="6">
        <v>15</v>
      </c>
      <c r="G80" s="8">
        <v>45912</v>
      </c>
      <c r="H80" s="6" t="s">
        <v>34</v>
      </c>
      <c r="I80" s="6">
        <f>Table1[[#This Row],[Harga per Item]]*70%</f>
        <v>115482.49999999999</v>
      </c>
      <c r="J80" s="6">
        <f>Table1[[#This Row],[Harga per Item]]-Table1[[#This Row],[HPP]]</f>
        <v>49492.500000000015</v>
      </c>
      <c r="K80" s="6">
        <f>Table1[[#This Row],[Profit Per Item]]*Table1[[#This Row],[Jumlah Terjual]]</f>
        <v>742387.50000000023</v>
      </c>
    </row>
    <row r="81" spans="1:11" x14ac:dyDescent="0.3">
      <c r="A81" s="6" t="s">
        <v>13</v>
      </c>
      <c r="B81" s="6" t="s">
        <v>16</v>
      </c>
      <c r="C81" s="7">
        <v>224602</v>
      </c>
      <c r="D81" s="6">
        <v>103</v>
      </c>
      <c r="E81" s="6">
        <v>62</v>
      </c>
      <c r="F81" s="6">
        <v>41</v>
      </c>
      <c r="G81" s="8">
        <v>45725</v>
      </c>
      <c r="H81" s="6" t="s">
        <v>35</v>
      </c>
      <c r="I81" s="6">
        <f>Table1[[#This Row],[Harga per Item]]*70%</f>
        <v>157221.4</v>
      </c>
      <c r="J81" s="6">
        <f>Table1[[#This Row],[Harga per Item]]-Table1[[#This Row],[HPP]]</f>
        <v>67380.600000000006</v>
      </c>
      <c r="K81" s="6">
        <f>Table1[[#This Row],[Profit Per Item]]*Table1[[#This Row],[Jumlah Terjual]]</f>
        <v>2762604.6</v>
      </c>
    </row>
    <row r="82" spans="1:11" x14ac:dyDescent="0.3">
      <c r="A82" s="6" t="s">
        <v>13</v>
      </c>
      <c r="B82" s="6" t="s">
        <v>17</v>
      </c>
      <c r="C82" s="7">
        <v>126836</v>
      </c>
      <c r="D82" s="6">
        <v>26</v>
      </c>
      <c r="E82" s="6">
        <v>17</v>
      </c>
      <c r="F82" s="6">
        <v>9</v>
      </c>
      <c r="G82" s="8">
        <v>45715</v>
      </c>
      <c r="H82" s="6" t="s">
        <v>36</v>
      </c>
      <c r="I82" s="6">
        <f>Table1[[#This Row],[Harga per Item]]*70%</f>
        <v>88785.2</v>
      </c>
      <c r="J82" s="6">
        <f>Table1[[#This Row],[Harga per Item]]-Table1[[#This Row],[HPP]]</f>
        <v>38050.800000000003</v>
      </c>
      <c r="K82" s="6">
        <f>Table1[[#This Row],[Profit Per Item]]*Table1[[#This Row],[Jumlah Terjual]]</f>
        <v>342457.2</v>
      </c>
    </row>
    <row r="83" spans="1:11" x14ac:dyDescent="0.3">
      <c r="A83" s="6" t="s">
        <v>13</v>
      </c>
      <c r="B83" s="6" t="s">
        <v>16</v>
      </c>
      <c r="C83" s="7">
        <v>224602</v>
      </c>
      <c r="D83" s="6">
        <v>161</v>
      </c>
      <c r="E83" s="6">
        <v>128</v>
      </c>
      <c r="F83" s="6">
        <v>33</v>
      </c>
      <c r="G83" s="8">
        <v>45861</v>
      </c>
      <c r="H83" s="6" t="s">
        <v>35</v>
      </c>
      <c r="I83" s="6">
        <f>Table1[[#This Row],[Harga per Item]]*70%</f>
        <v>157221.4</v>
      </c>
      <c r="J83" s="6">
        <f>Table1[[#This Row],[Harga per Item]]-Table1[[#This Row],[HPP]]</f>
        <v>67380.600000000006</v>
      </c>
      <c r="K83" s="6">
        <f>Table1[[#This Row],[Profit Per Item]]*Table1[[#This Row],[Jumlah Terjual]]</f>
        <v>2223559.8000000003</v>
      </c>
    </row>
    <row r="84" spans="1:11" x14ac:dyDescent="0.3">
      <c r="A84" s="6" t="s">
        <v>13</v>
      </c>
      <c r="B84" s="6" t="s">
        <v>14</v>
      </c>
      <c r="C84" s="7">
        <v>84414</v>
      </c>
      <c r="D84" s="6">
        <v>172</v>
      </c>
      <c r="E84" s="6">
        <v>45</v>
      </c>
      <c r="F84" s="6">
        <v>127</v>
      </c>
      <c r="G84" s="8">
        <v>45676</v>
      </c>
      <c r="H84" s="6" t="s">
        <v>37</v>
      </c>
      <c r="I84" s="6">
        <f>Table1[[#This Row],[Harga per Item]]*70%</f>
        <v>59089.799999999996</v>
      </c>
      <c r="J84" s="6">
        <f>Table1[[#This Row],[Harga per Item]]-Table1[[#This Row],[HPP]]</f>
        <v>25324.200000000004</v>
      </c>
      <c r="K84" s="6">
        <f>Table1[[#This Row],[Profit Per Item]]*Table1[[#This Row],[Jumlah Terjual]]</f>
        <v>3216173.4000000004</v>
      </c>
    </row>
    <row r="85" spans="1:11" x14ac:dyDescent="0.3">
      <c r="A85" s="6" t="s">
        <v>13</v>
      </c>
      <c r="B85" s="6" t="s">
        <v>15</v>
      </c>
      <c r="C85" s="7">
        <v>164975</v>
      </c>
      <c r="D85" s="6">
        <v>178</v>
      </c>
      <c r="E85" s="6">
        <v>96</v>
      </c>
      <c r="F85" s="6">
        <v>82</v>
      </c>
      <c r="G85" s="8">
        <v>45679</v>
      </c>
      <c r="H85" s="6" t="s">
        <v>34</v>
      </c>
      <c r="I85" s="6">
        <f>Table1[[#This Row],[Harga per Item]]*70%</f>
        <v>115482.49999999999</v>
      </c>
      <c r="J85" s="6">
        <f>Table1[[#This Row],[Harga per Item]]-Table1[[#This Row],[HPP]]</f>
        <v>49492.500000000015</v>
      </c>
      <c r="K85" s="6">
        <f>Table1[[#This Row],[Profit Per Item]]*Table1[[#This Row],[Jumlah Terjual]]</f>
        <v>4058385.0000000014</v>
      </c>
    </row>
    <row r="86" spans="1:11" x14ac:dyDescent="0.3">
      <c r="A86" s="6" t="s">
        <v>13</v>
      </c>
      <c r="B86" s="6" t="s">
        <v>16</v>
      </c>
      <c r="C86" s="7">
        <v>224602</v>
      </c>
      <c r="D86" s="6">
        <v>145</v>
      </c>
      <c r="E86" s="6">
        <v>95</v>
      </c>
      <c r="F86" s="6">
        <v>50</v>
      </c>
      <c r="G86" s="8">
        <v>45843</v>
      </c>
      <c r="H86" s="6" t="s">
        <v>35</v>
      </c>
      <c r="I86" s="6">
        <f>Table1[[#This Row],[Harga per Item]]*70%</f>
        <v>157221.4</v>
      </c>
      <c r="J86" s="6">
        <f>Table1[[#This Row],[Harga per Item]]-Table1[[#This Row],[HPP]]</f>
        <v>67380.600000000006</v>
      </c>
      <c r="K86" s="6">
        <f>Table1[[#This Row],[Profit Per Item]]*Table1[[#This Row],[Jumlah Terjual]]</f>
        <v>3369030.0000000005</v>
      </c>
    </row>
    <row r="87" spans="1:11" x14ac:dyDescent="0.3">
      <c r="A87" s="6" t="s">
        <v>8</v>
      </c>
      <c r="B87" s="6" t="s">
        <v>15</v>
      </c>
      <c r="C87" s="7">
        <v>112901</v>
      </c>
      <c r="D87" s="6">
        <v>95</v>
      </c>
      <c r="E87" s="6">
        <v>55</v>
      </c>
      <c r="F87" s="6">
        <v>40</v>
      </c>
      <c r="G87" s="8">
        <v>45894</v>
      </c>
      <c r="H87" s="6" t="s">
        <v>19</v>
      </c>
      <c r="I87" s="6">
        <f>Table1[[#This Row],[Harga per Item]]*70%</f>
        <v>79030.7</v>
      </c>
      <c r="J87" s="6">
        <f>Table1[[#This Row],[Harga per Item]]-Table1[[#This Row],[HPP]]</f>
        <v>33870.300000000003</v>
      </c>
      <c r="K87" s="6">
        <f>Table1[[#This Row],[Profit Per Item]]*Table1[[#This Row],[Jumlah Terjual]]</f>
        <v>1354812</v>
      </c>
    </row>
    <row r="88" spans="1:11" x14ac:dyDescent="0.3">
      <c r="A88" s="6" t="s">
        <v>8</v>
      </c>
      <c r="B88" s="6" t="s">
        <v>14</v>
      </c>
      <c r="C88" s="7">
        <v>261231</v>
      </c>
      <c r="D88" s="6">
        <v>160</v>
      </c>
      <c r="E88" s="6">
        <v>80</v>
      </c>
      <c r="F88" s="6">
        <v>80</v>
      </c>
      <c r="G88" s="8">
        <v>45748</v>
      </c>
      <c r="H88" s="6" t="s">
        <v>18</v>
      </c>
      <c r="I88" s="6">
        <f>Table1[[#This Row],[Harga per Item]]*70%</f>
        <v>182861.69999999998</v>
      </c>
      <c r="J88" s="6">
        <f>Table1[[#This Row],[Harga per Item]]-Table1[[#This Row],[HPP]]</f>
        <v>78369.300000000017</v>
      </c>
      <c r="K88" s="6">
        <f>Table1[[#This Row],[Profit Per Item]]*Table1[[#This Row],[Jumlah Terjual]]</f>
        <v>6269544.0000000019</v>
      </c>
    </row>
    <row r="89" spans="1:11" x14ac:dyDescent="0.3">
      <c r="A89" s="6" t="s">
        <v>8</v>
      </c>
      <c r="B89" s="6" t="s">
        <v>17</v>
      </c>
      <c r="C89" s="7">
        <v>230000</v>
      </c>
      <c r="D89" s="6">
        <v>110</v>
      </c>
      <c r="E89" s="6">
        <v>65</v>
      </c>
      <c r="F89" s="6">
        <v>45</v>
      </c>
      <c r="G89" s="8">
        <v>45792</v>
      </c>
      <c r="H89" s="6" t="s">
        <v>38</v>
      </c>
      <c r="I89" s="6">
        <f>Table1[[#This Row],[Harga per Item]]*70%</f>
        <v>161000</v>
      </c>
      <c r="J89" s="6">
        <f>Table1[[#This Row],[Harga per Item]]-Table1[[#This Row],[HPP]]</f>
        <v>69000</v>
      </c>
      <c r="K89" s="6">
        <f>Table1[[#This Row],[Profit Per Item]]*Table1[[#This Row],[Jumlah Terjual]]</f>
        <v>3105000</v>
      </c>
    </row>
    <row r="90" spans="1:11" x14ac:dyDescent="0.3">
      <c r="A90" s="6" t="s">
        <v>9</v>
      </c>
      <c r="B90" s="6" t="s">
        <v>16</v>
      </c>
      <c r="C90" s="7">
        <v>169407</v>
      </c>
      <c r="D90" s="6">
        <v>125</v>
      </c>
      <c r="E90" s="6">
        <v>75</v>
      </c>
      <c r="F90" s="6">
        <v>50</v>
      </c>
      <c r="G90" s="8">
        <v>45689</v>
      </c>
      <c r="H90" s="6" t="s">
        <v>21</v>
      </c>
      <c r="I90" s="6">
        <f>Table1[[#This Row],[Harga per Item]]*70%</f>
        <v>118584.9</v>
      </c>
      <c r="J90" s="6">
        <f>Table1[[#This Row],[Harga per Item]]-Table1[[#This Row],[HPP]]</f>
        <v>50822.100000000006</v>
      </c>
      <c r="K90" s="6">
        <f>Table1[[#This Row],[Profit Per Item]]*Table1[[#This Row],[Jumlah Terjual]]</f>
        <v>2541105.0000000005</v>
      </c>
    </row>
    <row r="91" spans="1:11" x14ac:dyDescent="0.3">
      <c r="A91" s="6" t="s">
        <v>9</v>
      </c>
      <c r="B91" s="6" t="s">
        <v>14</v>
      </c>
      <c r="C91" s="7">
        <v>183484</v>
      </c>
      <c r="D91" s="6">
        <v>155</v>
      </c>
      <c r="E91" s="6">
        <v>105</v>
      </c>
      <c r="F91" s="6">
        <v>50</v>
      </c>
      <c r="G91" s="8">
        <v>45726</v>
      </c>
      <c r="H91" s="6" t="s">
        <v>24</v>
      </c>
      <c r="I91" s="6">
        <f>Table1[[#This Row],[Harga per Item]]*70%</f>
        <v>128438.79999999999</v>
      </c>
      <c r="J91" s="6">
        <f>Table1[[#This Row],[Harga per Item]]-Table1[[#This Row],[HPP]]</f>
        <v>55045.200000000012</v>
      </c>
      <c r="K91" s="6">
        <f>Table1[[#This Row],[Profit Per Item]]*Table1[[#This Row],[Jumlah Terjual]]</f>
        <v>2752260.0000000005</v>
      </c>
    </row>
    <row r="92" spans="1:11" x14ac:dyDescent="0.3">
      <c r="A92" s="6" t="s">
        <v>9</v>
      </c>
      <c r="B92" s="6" t="s">
        <v>17</v>
      </c>
      <c r="C92" s="7">
        <v>135039</v>
      </c>
      <c r="D92" s="6">
        <v>100</v>
      </c>
      <c r="E92" s="6">
        <v>70</v>
      </c>
      <c r="F92" s="6">
        <v>30</v>
      </c>
      <c r="G92" s="8">
        <v>45920</v>
      </c>
      <c r="H92" s="6" t="s">
        <v>22</v>
      </c>
      <c r="I92" s="6">
        <f>Table1[[#This Row],[Harga per Item]]*70%</f>
        <v>94527.299999999988</v>
      </c>
      <c r="J92" s="6">
        <f>Table1[[#This Row],[Harga per Item]]-Table1[[#This Row],[HPP]]</f>
        <v>40511.700000000012</v>
      </c>
      <c r="K92" s="6">
        <f>Table1[[#This Row],[Profit Per Item]]*Table1[[#This Row],[Jumlah Terjual]]</f>
        <v>1215351.0000000005</v>
      </c>
    </row>
    <row r="93" spans="1:11" x14ac:dyDescent="0.3">
      <c r="A93" s="6" t="s">
        <v>10</v>
      </c>
      <c r="B93" s="6" t="s">
        <v>16</v>
      </c>
      <c r="C93" s="7">
        <v>180500</v>
      </c>
      <c r="D93" s="6">
        <v>115</v>
      </c>
      <c r="E93" s="6">
        <v>70</v>
      </c>
      <c r="F93" s="6">
        <v>45</v>
      </c>
      <c r="G93" s="8">
        <v>45874</v>
      </c>
      <c r="H93" s="6" t="s">
        <v>39</v>
      </c>
      <c r="I93" s="6">
        <f>Table1[[#This Row],[Harga per Item]]*70%</f>
        <v>126349.99999999999</v>
      </c>
      <c r="J93" s="6">
        <f>Table1[[#This Row],[Harga per Item]]-Table1[[#This Row],[HPP]]</f>
        <v>54150.000000000015</v>
      </c>
      <c r="K93" s="6">
        <f>Table1[[#This Row],[Profit Per Item]]*Table1[[#This Row],[Jumlah Terjual]]</f>
        <v>2436750.0000000005</v>
      </c>
    </row>
    <row r="94" spans="1:11" x14ac:dyDescent="0.3">
      <c r="A94" s="6" t="s">
        <v>10</v>
      </c>
      <c r="B94" s="6" t="s">
        <v>14</v>
      </c>
      <c r="C94" s="7">
        <v>139317</v>
      </c>
      <c r="D94" s="6">
        <v>150</v>
      </c>
      <c r="E94" s="6">
        <v>70</v>
      </c>
      <c r="F94" s="6">
        <v>80</v>
      </c>
      <c r="G94" s="8">
        <v>45809</v>
      </c>
      <c r="H94" s="6" t="s">
        <v>27</v>
      </c>
      <c r="I94" s="6">
        <f>Table1[[#This Row],[Harga per Item]]*70%</f>
        <v>97521.9</v>
      </c>
      <c r="J94" s="6">
        <f>Table1[[#This Row],[Harga per Item]]-Table1[[#This Row],[HPP]]</f>
        <v>41795.100000000006</v>
      </c>
      <c r="K94" s="6">
        <f>Table1[[#This Row],[Profit Per Item]]*Table1[[#This Row],[Jumlah Terjual]]</f>
        <v>3343608.0000000005</v>
      </c>
    </row>
    <row r="95" spans="1:11" x14ac:dyDescent="0.3">
      <c r="A95" s="6" t="s">
        <v>11</v>
      </c>
      <c r="B95" s="6" t="s">
        <v>16</v>
      </c>
      <c r="C95" s="7">
        <v>175804</v>
      </c>
      <c r="D95" s="6">
        <v>135</v>
      </c>
      <c r="E95" s="6">
        <v>85</v>
      </c>
      <c r="F95" s="6">
        <v>50</v>
      </c>
      <c r="G95" s="8">
        <v>45910</v>
      </c>
      <c r="H95" s="6" t="s">
        <v>30</v>
      </c>
      <c r="I95" s="6">
        <f>Table1[[#This Row],[Harga per Item]]*70%</f>
        <v>123062.79999999999</v>
      </c>
      <c r="J95" s="6">
        <f>Table1[[#This Row],[Harga per Item]]-Table1[[#This Row],[HPP]]</f>
        <v>52741.200000000012</v>
      </c>
      <c r="K95" s="6">
        <f>Table1[[#This Row],[Profit Per Item]]*Table1[[#This Row],[Jumlah Terjual]]</f>
        <v>2637060.0000000005</v>
      </c>
    </row>
    <row r="96" spans="1:11" x14ac:dyDescent="0.3">
      <c r="A96" s="6" t="s">
        <v>12</v>
      </c>
      <c r="B96" s="6" t="s">
        <v>14</v>
      </c>
      <c r="C96" s="7">
        <v>234142</v>
      </c>
      <c r="D96" s="6">
        <v>205</v>
      </c>
      <c r="E96" s="6">
        <v>105</v>
      </c>
      <c r="F96" s="6">
        <v>100</v>
      </c>
      <c r="G96" s="8">
        <v>45762</v>
      </c>
      <c r="H96" s="6" t="s">
        <v>32</v>
      </c>
      <c r="I96" s="6">
        <f>Table1[[#This Row],[Harga per Item]]*70%</f>
        <v>163899.4</v>
      </c>
      <c r="J96" s="6">
        <f>Table1[[#This Row],[Harga per Item]]-Table1[[#This Row],[HPP]]</f>
        <v>70242.600000000006</v>
      </c>
      <c r="K96" s="6">
        <f>Table1[[#This Row],[Profit Per Item]]*Table1[[#This Row],[Jumlah Terjual]]</f>
        <v>7024260.0000000009</v>
      </c>
    </row>
    <row r="97" spans="1:11" x14ac:dyDescent="0.3">
      <c r="A97" s="6" t="s">
        <v>12</v>
      </c>
      <c r="B97" s="6" t="s">
        <v>14</v>
      </c>
      <c r="C97" s="7">
        <v>234142</v>
      </c>
      <c r="D97" s="6">
        <v>70</v>
      </c>
      <c r="E97" s="6">
        <v>34</v>
      </c>
      <c r="F97" s="6">
        <v>36</v>
      </c>
      <c r="G97" s="8">
        <v>45878</v>
      </c>
      <c r="H97" s="6" t="s">
        <v>32</v>
      </c>
      <c r="I97" s="6">
        <f>Table1[[#This Row],[Harga per Item]]*70%</f>
        <v>163899.4</v>
      </c>
      <c r="J97" s="6">
        <f>Table1[[#This Row],[Harga per Item]]-Table1[[#This Row],[HPP]]</f>
        <v>70242.600000000006</v>
      </c>
      <c r="K97" s="6">
        <f>Table1[[#This Row],[Profit Per Item]]*Table1[[#This Row],[Jumlah Terjual]]</f>
        <v>2528733.6</v>
      </c>
    </row>
    <row r="98" spans="1:11" x14ac:dyDescent="0.3">
      <c r="A98" s="6" t="s">
        <v>12</v>
      </c>
      <c r="B98" s="6" t="s">
        <v>15</v>
      </c>
      <c r="C98" s="7">
        <v>103352</v>
      </c>
      <c r="D98" s="6">
        <v>170</v>
      </c>
      <c r="E98" s="6">
        <v>154</v>
      </c>
      <c r="F98" s="6">
        <v>20</v>
      </c>
      <c r="G98" s="8">
        <v>45780</v>
      </c>
      <c r="H98" s="6" t="s">
        <v>33</v>
      </c>
      <c r="I98" s="6">
        <f>Table1[[#This Row],[Harga per Item]]*70%</f>
        <v>72346.399999999994</v>
      </c>
      <c r="J98" s="6">
        <f>Table1[[#This Row],[Harga per Item]]-Table1[[#This Row],[HPP]]</f>
        <v>31005.600000000006</v>
      </c>
      <c r="K98" s="6">
        <f>Table1[[#This Row],[Profit Per Item]]*Table1[[#This Row],[Jumlah Terjual]]</f>
        <v>620112.00000000012</v>
      </c>
    </row>
    <row r="99" spans="1:11" x14ac:dyDescent="0.3">
      <c r="A99" s="6" t="s">
        <v>12</v>
      </c>
      <c r="B99" s="6" t="s">
        <v>14</v>
      </c>
      <c r="C99" s="7">
        <v>234142</v>
      </c>
      <c r="D99" s="6">
        <v>150</v>
      </c>
      <c r="E99" s="6">
        <v>56</v>
      </c>
      <c r="F99" s="6">
        <v>68</v>
      </c>
      <c r="G99" s="8">
        <v>45791</v>
      </c>
      <c r="H99" s="6" t="s">
        <v>32</v>
      </c>
      <c r="I99" s="6">
        <f>Table1[[#This Row],[Harga per Item]]*70%</f>
        <v>163899.4</v>
      </c>
      <c r="J99" s="6">
        <f>Table1[[#This Row],[Harga per Item]]-Table1[[#This Row],[HPP]]</f>
        <v>70242.600000000006</v>
      </c>
      <c r="K99" s="6">
        <f>Table1[[#This Row],[Profit Per Item]]*Table1[[#This Row],[Jumlah Terjual]]</f>
        <v>4776496.8000000007</v>
      </c>
    </row>
    <row r="100" spans="1:11" x14ac:dyDescent="0.3">
      <c r="A100" s="6" t="s">
        <v>12</v>
      </c>
      <c r="B100" s="6" t="s">
        <v>15</v>
      </c>
      <c r="C100" s="7">
        <v>103352</v>
      </c>
      <c r="D100" s="6">
        <v>144</v>
      </c>
      <c r="E100" s="6">
        <v>154</v>
      </c>
      <c r="F100" s="6">
        <v>20</v>
      </c>
      <c r="G100" s="8">
        <v>45780</v>
      </c>
      <c r="H100" s="6" t="s">
        <v>33</v>
      </c>
      <c r="I100" s="6">
        <f>Table1[[#This Row],[Harga per Item]]*70%</f>
        <v>72346.399999999994</v>
      </c>
      <c r="J100" s="6">
        <f>Table1[[#This Row],[Harga per Item]]-Table1[[#This Row],[HPP]]</f>
        <v>31005.600000000006</v>
      </c>
      <c r="K100" s="6">
        <f>Table1[[#This Row],[Profit Per Item]]*Table1[[#This Row],[Jumlah Terjual]]</f>
        <v>620112.00000000012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9087-0B13-489A-B191-10678C297318}">
  <dimension ref="A7:T58"/>
  <sheetViews>
    <sheetView topLeftCell="C1" zoomScale="50" zoomScaleNormal="54" workbookViewId="0">
      <selection activeCell="N25" sqref="N25"/>
    </sheetView>
  </sheetViews>
  <sheetFormatPr defaultRowHeight="14.4" x14ac:dyDescent="0.3"/>
  <cols>
    <col min="1" max="1" width="19.21875" bestFit="1" customWidth="1"/>
    <col min="2" max="2" width="27.6640625" bestFit="1" customWidth="1"/>
    <col min="3" max="3" width="22.33203125" bestFit="1" customWidth="1"/>
    <col min="4" max="4" width="27.5546875" bestFit="1" customWidth="1"/>
    <col min="5" max="5" width="19.21875" bestFit="1" customWidth="1"/>
    <col min="6" max="6" width="27.6640625" bestFit="1" customWidth="1"/>
    <col min="7" max="7" width="23" bestFit="1" customWidth="1"/>
    <col min="8" max="8" width="13.44140625" bestFit="1" customWidth="1"/>
    <col min="9" max="9" width="19.21875" bestFit="1" customWidth="1"/>
    <col min="10" max="10" width="27.6640625" bestFit="1" customWidth="1"/>
    <col min="11" max="11" width="13.5546875" bestFit="1" customWidth="1"/>
    <col min="12" max="12" width="19.21875" bestFit="1" customWidth="1"/>
    <col min="13" max="13" width="20.77734375" bestFit="1" customWidth="1"/>
    <col min="14" max="16" width="11.109375" bestFit="1" customWidth="1"/>
    <col min="17" max="17" width="23.6640625" bestFit="1" customWidth="1"/>
    <col min="18" max="18" width="28.109375" bestFit="1" customWidth="1"/>
    <col min="19" max="19" width="16.109375" bestFit="1" customWidth="1"/>
    <col min="20" max="20" width="27.6640625" bestFit="1" customWidth="1"/>
    <col min="21" max="56" width="11.109375" bestFit="1" customWidth="1"/>
    <col min="57" max="57" width="10.88671875" bestFit="1" customWidth="1"/>
  </cols>
  <sheetData>
    <row r="7" spans="1:20" x14ac:dyDescent="0.3">
      <c r="A7" s="1" t="s">
        <v>40</v>
      </c>
      <c r="B7" t="s">
        <v>41</v>
      </c>
      <c r="E7" s="1" t="s">
        <v>40</v>
      </c>
      <c r="F7" t="s">
        <v>45</v>
      </c>
      <c r="G7" t="s">
        <v>44</v>
      </c>
      <c r="I7" s="1" t="s">
        <v>40</v>
      </c>
      <c r="J7" t="s">
        <v>45</v>
      </c>
      <c r="L7" s="1" t="s">
        <v>40</v>
      </c>
      <c r="M7" t="s">
        <v>46</v>
      </c>
      <c r="Q7" s="9" t="s">
        <v>40</v>
      </c>
      <c r="R7" s="6" t="s">
        <v>54</v>
      </c>
      <c r="S7" s="6" t="s">
        <v>53</v>
      </c>
      <c r="T7" s="6" t="s">
        <v>41</v>
      </c>
    </row>
    <row r="8" spans="1:20" x14ac:dyDescent="0.3">
      <c r="A8" s="2" t="s">
        <v>16</v>
      </c>
      <c r="B8" s="10">
        <v>527412</v>
      </c>
      <c r="E8" s="2" t="s">
        <v>30</v>
      </c>
      <c r="F8" s="10">
        <v>310</v>
      </c>
      <c r="G8" s="10">
        <v>199</v>
      </c>
      <c r="I8" s="2" t="s">
        <v>55</v>
      </c>
      <c r="J8" s="10"/>
      <c r="L8" s="2" t="s">
        <v>11</v>
      </c>
      <c r="M8" s="10">
        <v>15</v>
      </c>
      <c r="Q8" s="6" t="s">
        <v>10</v>
      </c>
      <c r="R8" s="11">
        <v>379657.80000000016</v>
      </c>
      <c r="S8" s="11">
        <v>885868.19999999984</v>
      </c>
      <c r="T8" s="11">
        <v>1265526</v>
      </c>
    </row>
    <row r="9" spans="1:20" x14ac:dyDescent="0.3">
      <c r="A9" s="2" t="s">
        <v>15</v>
      </c>
      <c r="B9" s="10">
        <v>1317810</v>
      </c>
      <c r="E9" s="2" t="s">
        <v>29</v>
      </c>
      <c r="F9" s="10">
        <v>198</v>
      </c>
      <c r="G9" s="10">
        <v>128</v>
      </c>
      <c r="I9" s="3" t="s">
        <v>29</v>
      </c>
      <c r="J9" s="10">
        <v>102</v>
      </c>
      <c r="L9" s="3" t="s">
        <v>30</v>
      </c>
      <c r="M9" s="10">
        <v>3</v>
      </c>
      <c r="Q9" s="12" t="s">
        <v>26</v>
      </c>
      <c r="R9" s="11">
        <v>379657.80000000016</v>
      </c>
      <c r="S9" s="11">
        <v>885868.19999999984</v>
      </c>
      <c r="T9" s="11">
        <v>1265526</v>
      </c>
    </row>
    <row r="10" spans="1:20" x14ac:dyDescent="0.3">
      <c r="A10" s="2" t="s">
        <v>14</v>
      </c>
      <c r="B10" s="10">
        <v>1689096</v>
      </c>
      <c r="E10" s="2" t="s">
        <v>28</v>
      </c>
      <c r="F10" s="10">
        <v>400</v>
      </c>
      <c r="G10" s="10">
        <v>256</v>
      </c>
      <c r="I10" s="3" t="s">
        <v>28</v>
      </c>
      <c r="J10" s="10">
        <v>68</v>
      </c>
      <c r="L10" s="3" t="s">
        <v>29</v>
      </c>
      <c r="M10" s="10">
        <v>6</v>
      </c>
      <c r="Q10" s="6" t="s">
        <v>42</v>
      </c>
      <c r="R10" s="11">
        <v>379657.80000000016</v>
      </c>
      <c r="S10" s="11">
        <v>885868.19999999984</v>
      </c>
      <c r="T10" s="11">
        <v>1265526</v>
      </c>
    </row>
    <row r="11" spans="1:20" x14ac:dyDescent="0.3">
      <c r="A11" s="2" t="s">
        <v>42</v>
      </c>
      <c r="B11" s="10">
        <v>3534318</v>
      </c>
      <c r="E11" s="2" t="s">
        <v>42</v>
      </c>
      <c r="F11" s="10">
        <v>908</v>
      </c>
      <c r="G11" s="10">
        <v>583</v>
      </c>
      <c r="I11" s="2" t="s">
        <v>56</v>
      </c>
      <c r="J11" s="10"/>
      <c r="L11" s="3" t="s">
        <v>28</v>
      </c>
      <c r="M11" s="10">
        <v>6</v>
      </c>
    </row>
    <row r="12" spans="1:20" x14ac:dyDescent="0.3">
      <c r="I12" s="3" t="s">
        <v>30</v>
      </c>
      <c r="J12" s="10">
        <v>260</v>
      </c>
      <c r="L12" s="2" t="s">
        <v>42</v>
      </c>
      <c r="M12" s="10">
        <v>15</v>
      </c>
    </row>
    <row r="13" spans="1:20" x14ac:dyDescent="0.3">
      <c r="I13" s="3" t="s">
        <v>28</v>
      </c>
      <c r="J13" s="10">
        <v>98</v>
      </c>
    </row>
    <row r="14" spans="1:20" x14ac:dyDescent="0.3">
      <c r="I14" s="2" t="s">
        <v>47</v>
      </c>
      <c r="J14" s="10"/>
    </row>
    <row r="15" spans="1:20" x14ac:dyDescent="0.3">
      <c r="I15" s="3" t="s">
        <v>28</v>
      </c>
      <c r="J15" s="10">
        <v>234</v>
      </c>
    </row>
    <row r="16" spans="1:20" x14ac:dyDescent="0.3">
      <c r="A16" s="1" t="s">
        <v>40</v>
      </c>
      <c r="B16" t="s">
        <v>44</v>
      </c>
      <c r="C16" t="s">
        <v>43</v>
      </c>
      <c r="I16" s="2" t="s">
        <v>48</v>
      </c>
      <c r="J16" s="10"/>
    </row>
    <row r="17" spans="1:10" x14ac:dyDescent="0.3">
      <c r="A17" s="2" t="s">
        <v>11</v>
      </c>
      <c r="B17" s="10">
        <v>583</v>
      </c>
      <c r="C17" s="10">
        <v>1491</v>
      </c>
      <c r="I17" s="3" t="s">
        <v>29</v>
      </c>
      <c r="J17" s="10">
        <v>60</v>
      </c>
    </row>
    <row r="18" spans="1:10" x14ac:dyDescent="0.3">
      <c r="A18" s="2" t="s">
        <v>42</v>
      </c>
      <c r="B18" s="10">
        <v>583</v>
      </c>
      <c r="C18" s="10">
        <v>1491</v>
      </c>
      <c r="I18" s="2" t="s">
        <v>49</v>
      </c>
      <c r="J18" s="10"/>
    </row>
    <row r="19" spans="1:10" x14ac:dyDescent="0.3">
      <c r="I19" s="3" t="s">
        <v>30</v>
      </c>
      <c r="J19" s="10">
        <v>50</v>
      </c>
    </row>
    <row r="20" spans="1:10" x14ac:dyDescent="0.3">
      <c r="I20" s="3" t="s">
        <v>29</v>
      </c>
      <c r="J20" s="10">
        <v>36</v>
      </c>
    </row>
    <row r="21" spans="1:10" x14ac:dyDescent="0.3">
      <c r="I21" s="2" t="s">
        <v>42</v>
      </c>
      <c r="J21" s="10">
        <v>908</v>
      </c>
    </row>
    <row r="27" spans="1:10" x14ac:dyDescent="0.3">
      <c r="A27" s="1" t="s">
        <v>40</v>
      </c>
      <c r="B27" t="s">
        <v>45</v>
      </c>
    </row>
    <row r="28" spans="1:10" x14ac:dyDescent="0.3">
      <c r="A28" s="2" t="s">
        <v>30</v>
      </c>
      <c r="B28" s="10">
        <v>310</v>
      </c>
    </row>
    <row r="29" spans="1:10" x14ac:dyDescent="0.3">
      <c r="A29" s="2" t="s">
        <v>29</v>
      </c>
      <c r="B29" s="10">
        <v>198</v>
      </c>
    </row>
    <row r="30" spans="1:10" x14ac:dyDescent="0.3">
      <c r="A30" s="2" t="s">
        <v>28</v>
      </c>
      <c r="B30" s="10">
        <v>400</v>
      </c>
    </row>
    <row r="31" spans="1:10" x14ac:dyDescent="0.3">
      <c r="A31" s="2" t="s">
        <v>42</v>
      </c>
      <c r="B31" s="10">
        <v>908</v>
      </c>
    </row>
    <row r="58" spans="1:4" x14ac:dyDescent="0.3">
      <c r="A58" s="6"/>
      <c r="B58" s="6"/>
      <c r="C58" s="6"/>
      <c r="D5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8BD7-2C59-44AB-9514-28B8ED94568D}">
  <dimension ref="A2:AO52"/>
  <sheetViews>
    <sheetView topLeftCell="Q1" zoomScale="59" zoomScaleNormal="100" workbookViewId="0">
      <selection activeCell="AO9" sqref="AO9"/>
    </sheetView>
  </sheetViews>
  <sheetFormatPr defaultRowHeight="14.4" x14ac:dyDescent="0.3"/>
  <sheetData>
    <row r="2" spans="1:41" x14ac:dyDescent="0.3">
      <c r="A2" s="4"/>
      <c r="B2" s="4"/>
      <c r="C2" s="4"/>
      <c r="D2" s="4"/>
      <c r="E2" s="4"/>
      <c r="F2" s="4"/>
      <c r="G2" s="4"/>
      <c r="H2" s="4"/>
      <c r="I2" s="4"/>
      <c r="J2" s="4"/>
      <c r="K2" s="4"/>
      <c r="L2" s="4"/>
      <c r="M2" s="4"/>
      <c r="N2" s="4"/>
      <c r="O2" s="4"/>
      <c r="P2" s="4"/>
      <c r="Q2" s="4"/>
      <c r="R2" s="4"/>
      <c r="S2" s="4"/>
      <c r="T2" s="4"/>
      <c r="U2" s="4"/>
      <c r="V2" s="4"/>
      <c r="W2" s="4"/>
      <c r="X2" s="4"/>
    </row>
    <row r="3" spans="1:41" x14ac:dyDescent="0.3">
      <c r="A3" s="4"/>
      <c r="B3" s="4"/>
      <c r="C3" s="4"/>
      <c r="D3" s="4"/>
      <c r="E3" s="4"/>
      <c r="F3" s="4"/>
      <c r="G3" s="4"/>
      <c r="H3" s="4"/>
      <c r="I3" s="4"/>
      <c r="J3" s="4"/>
      <c r="K3" s="4"/>
      <c r="L3" s="4"/>
      <c r="M3" s="4"/>
      <c r="N3" s="4"/>
      <c r="O3" s="4"/>
      <c r="P3" s="4"/>
      <c r="Q3" s="4"/>
      <c r="R3" s="4"/>
      <c r="S3" s="4"/>
      <c r="T3" s="4"/>
      <c r="U3" s="4"/>
      <c r="V3" s="4"/>
      <c r="W3" s="4"/>
      <c r="X3" s="4"/>
    </row>
    <row r="4" spans="1:41" x14ac:dyDescent="0.3">
      <c r="A4" s="4"/>
      <c r="B4" s="4"/>
      <c r="C4" s="4"/>
      <c r="D4" s="4"/>
      <c r="E4" s="4"/>
      <c r="F4" s="4"/>
      <c r="G4" s="4"/>
      <c r="H4" s="4"/>
      <c r="I4" s="4"/>
      <c r="J4" s="4"/>
      <c r="K4" s="4"/>
      <c r="L4" s="4"/>
      <c r="M4" s="4"/>
      <c r="N4" s="4"/>
      <c r="O4" s="4"/>
      <c r="P4" s="4"/>
      <c r="Q4" s="4"/>
      <c r="R4" s="4"/>
      <c r="S4" s="4"/>
      <c r="T4" s="4"/>
      <c r="U4" s="4"/>
      <c r="V4" s="4"/>
      <c r="W4" s="4"/>
      <c r="X4" s="4"/>
    </row>
    <row r="5" spans="1:41" x14ac:dyDescent="0.3">
      <c r="A5" s="4"/>
      <c r="B5" s="4"/>
      <c r="C5" s="4"/>
      <c r="D5" s="4"/>
      <c r="E5" s="4"/>
      <c r="F5" s="4"/>
      <c r="G5" s="4"/>
      <c r="H5" s="4"/>
      <c r="I5" s="4"/>
      <c r="J5" s="4"/>
      <c r="K5" s="4"/>
      <c r="L5" s="4"/>
      <c r="M5" s="4"/>
      <c r="N5" s="4"/>
      <c r="O5" s="4"/>
      <c r="P5" s="4"/>
      <c r="Q5" s="4"/>
      <c r="R5" s="4"/>
      <c r="S5" s="4"/>
      <c r="T5" s="4"/>
      <c r="U5" s="4"/>
      <c r="V5" s="4"/>
      <c r="W5" s="4"/>
      <c r="X5" s="4"/>
    </row>
    <row r="6" spans="1:41" x14ac:dyDescent="0.3">
      <c r="A6" s="4"/>
      <c r="B6" s="4"/>
      <c r="C6" s="4"/>
      <c r="D6" s="4"/>
      <c r="E6" s="4"/>
      <c r="F6" s="4"/>
      <c r="G6" s="4"/>
      <c r="H6" s="4"/>
      <c r="I6" s="4"/>
      <c r="J6" s="4"/>
      <c r="K6" s="4"/>
      <c r="L6" s="4"/>
      <c r="M6" s="4"/>
      <c r="N6" s="4"/>
      <c r="O6" s="4"/>
      <c r="P6" s="4"/>
      <c r="Q6" s="4"/>
      <c r="R6" s="4"/>
      <c r="S6" s="4"/>
      <c r="T6" s="4"/>
      <c r="U6" s="4"/>
      <c r="V6" s="4"/>
      <c r="W6" s="4"/>
      <c r="X6" s="4"/>
    </row>
    <row r="7" spans="1:41" x14ac:dyDescent="0.3">
      <c r="A7" s="4"/>
      <c r="B7" s="4"/>
      <c r="C7" s="4"/>
      <c r="D7" s="4"/>
      <c r="E7" s="4"/>
      <c r="F7" s="4"/>
      <c r="G7" s="4"/>
      <c r="H7" s="4"/>
      <c r="I7" s="4"/>
      <c r="J7" s="4"/>
      <c r="K7" s="4"/>
      <c r="L7" s="4"/>
      <c r="M7" s="4"/>
      <c r="N7" s="4"/>
      <c r="O7" s="4"/>
      <c r="P7" s="4"/>
      <c r="Q7" s="4"/>
      <c r="R7" s="4"/>
      <c r="S7" s="4"/>
      <c r="T7" s="4"/>
      <c r="U7" s="4"/>
      <c r="V7" s="4"/>
      <c r="W7" s="4"/>
      <c r="X7" s="4"/>
    </row>
    <row r="8" spans="1:41" x14ac:dyDescent="0.3">
      <c r="A8" s="4"/>
      <c r="B8" s="4"/>
      <c r="C8" s="4"/>
      <c r="D8" s="4"/>
      <c r="E8" s="4"/>
      <c r="F8" s="4"/>
      <c r="G8" s="4"/>
      <c r="H8" s="4"/>
      <c r="I8" s="4"/>
      <c r="J8" s="4"/>
      <c r="K8" s="4"/>
      <c r="L8" s="4"/>
      <c r="M8" s="4"/>
      <c r="N8" s="4"/>
      <c r="O8" s="4"/>
      <c r="P8" s="4"/>
      <c r="Q8" s="4"/>
      <c r="R8" s="4"/>
      <c r="S8" s="4"/>
      <c r="T8" s="4"/>
      <c r="U8" s="4"/>
      <c r="V8" s="4"/>
      <c r="W8" s="4"/>
      <c r="X8" s="4"/>
    </row>
    <row r="9" spans="1:41" x14ac:dyDescent="0.3">
      <c r="A9" s="4"/>
      <c r="B9" s="4"/>
      <c r="C9" s="4"/>
      <c r="D9" s="4"/>
      <c r="E9" s="4"/>
      <c r="F9" s="4"/>
      <c r="G9" s="4"/>
      <c r="H9" s="4"/>
      <c r="I9" s="4"/>
      <c r="J9" s="4"/>
      <c r="K9" s="4"/>
      <c r="L9" s="4"/>
      <c r="M9" s="4"/>
      <c r="N9" s="4"/>
      <c r="O9" s="4"/>
      <c r="P9" s="4"/>
      <c r="Q9" s="4"/>
      <c r="R9" s="4"/>
      <c r="S9" s="4"/>
      <c r="T9" s="4"/>
      <c r="U9" s="4"/>
      <c r="V9" s="4"/>
      <c r="W9" s="4"/>
      <c r="X9" s="4"/>
    </row>
    <row r="10" spans="1:41" x14ac:dyDescent="0.3">
      <c r="A10" s="4"/>
      <c r="B10" s="4"/>
      <c r="C10" s="4"/>
      <c r="D10" s="4"/>
      <c r="E10" s="4"/>
      <c r="F10" s="4"/>
      <c r="G10" s="4"/>
      <c r="H10" s="4"/>
      <c r="I10" s="4"/>
      <c r="J10" s="4"/>
      <c r="K10" s="4"/>
      <c r="L10" s="4"/>
      <c r="M10" s="4"/>
      <c r="N10" s="4"/>
      <c r="O10" s="4"/>
      <c r="P10" s="4"/>
      <c r="Q10" s="4"/>
      <c r="R10" s="4"/>
      <c r="S10" s="4"/>
      <c r="T10" s="4"/>
      <c r="U10" s="4"/>
      <c r="V10" s="4"/>
      <c r="W10" s="4"/>
      <c r="X10" s="4"/>
    </row>
    <row r="11" spans="1:41" x14ac:dyDescent="0.3">
      <c r="A11" s="4"/>
      <c r="B11" s="4"/>
      <c r="C11" s="4"/>
      <c r="D11" s="4"/>
      <c r="E11" s="4"/>
      <c r="F11" s="4"/>
      <c r="G11" s="4"/>
      <c r="H11" s="4"/>
      <c r="I11" s="4"/>
      <c r="J11" s="4"/>
      <c r="K11" s="4"/>
      <c r="L11" s="4"/>
      <c r="M11" s="4"/>
      <c r="N11" s="4"/>
      <c r="O11" s="4"/>
      <c r="P11" s="4"/>
      <c r="Q11" s="4"/>
      <c r="R11" s="4"/>
      <c r="S11" s="4"/>
      <c r="T11" s="4"/>
      <c r="U11" s="4"/>
      <c r="V11" s="4"/>
      <c r="W11" s="4"/>
      <c r="X11" s="4"/>
    </row>
    <row r="12" spans="1:41" x14ac:dyDescent="0.3">
      <c r="A12" s="4"/>
      <c r="B12" s="4"/>
      <c r="C12" s="4"/>
      <c r="D12" s="4"/>
      <c r="E12" s="4"/>
      <c r="F12" s="4"/>
      <c r="G12" s="4"/>
      <c r="H12" s="4"/>
      <c r="I12" s="4"/>
      <c r="J12" s="4"/>
      <c r="K12" s="4"/>
      <c r="L12" s="4"/>
      <c r="M12" s="4"/>
      <c r="N12" s="4"/>
      <c r="O12" s="4"/>
      <c r="P12" s="4"/>
      <c r="Q12" s="4"/>
      <c r="R12" s="4"/>
      <c r="S12" s="4"/>
      <c r="T12" s="4"/>
      <c r="U12" s="4"/>
      <c r="V12" s="4"/>
      <c r="W12" s="4"/>
      <c r="X12" s="4"/>
      <c r="AC12" s="4"/>
      <c r="AD12" s="4"/>
      <c r="AE12" s="4"/>
      <c r="AF12" s="4"/>
      <c r="AG12" s="4"/>
      <c r="AH12" s="4"/>
      <c r="AI12" s="4"/>
      <c r="AJ12" s="4"/>
      <c r="AK12" s="4"/>
      <c r="AL12" s="4"/>
      <c r="AM12" s="4"/>
      <c r="AN12" s="4"/>
      <c r="AO12" s="4"/>
    </row>
    <row r="13" spans="1:41" x14ac:dyDescent="0.3">
      <c r="A13" s="4"/>
      <c r="B13" s="4"/>
      <c r="C13" s="4"/>
      <c r="D13" s="4"/>
      <c r="E13" s="4"/>
      <c r="F13" s="4"/>
      <c r="G13" s="4"/>
      <c r="H13" s="4"/>
      <c r="I13" s="4"/>
      <c r="J13" s="4"/>
      <c r="K13" s="4"/>
      <c r="L13" s="4"/>
      <c r="M13" s="4"/>
      <c r="N13" s="4"/>
      <c r="O13" s="4"/>
      <c r="P13" s="4"/>
      <c r="Q13" s="4"/>
      <c r="R13" s="4"/>
      <c r="S13" s="4"/>
      <c r="T13" s="4"/>
      <c r="U13" s="4"/>
      <c r="V13" s="4"/>
      <c r="W13" s="4"/>
      <c r="X13" s="4"/>
      <c r="AC13" s="4"/>
      <c r="AD13" s="4"/>
      <c r="AE13" s="4"/>
      <c r="AF13" s="4"/>
      <c r="AG13" s="4"/>
      <c r="AH13" s="4"/>
      <c r="AI13" s="4"/>
      <c r="AJ13" s="4"/>
      <c r="AK13" s="4"/>
      <c r="AL13" s="4"/>
      <c r="AM13" s="4"/>
      <c r="AN13" s="4"/>
      <c r="AO13" s="4"/>
    </row>
    <row r="14" spans="1:41" x14ac:dyDescent="0.3">
      <c r="A14" s="4"/>
      <c r="B14" s="4"/>
      <c r="C14" s="4"/>
      <c r="D14" s="4"/>
      <c r="E14" s="4"/>
      <c r="F14" s="4"/>
      <c r="G14" s="4"/>
      <c r="H14" s="4"/>
      <c r="I14" s="4"/>
      <c r="J14" s="4"/>
      <c r="K14" s="4"/>
      <c r="L14" s="4"/>
      <c r="M14" s="4"/>
      <c r="N14" s="4"/>
      <c r="O14" s="4"/>
      <c r="P14" s="4"/>
      <c r="Q14" s="4"/>
      <c r="R14" s="4"/>
      <c r="S14" s="4"/>
      <c r="T14" s="4"/>
      <c r="U14" s="4"/>
      <c r="V14" s="4"/>
      <c r="W14" s="4"/>
      <c r="X14" s="4"/>
      <c r="AC14" s="4"/>
      <c r="AD14" s="4"/>
      <c r="AE14" s="4"/>
      <c r="AF14" s="4"/>
      <c r="AG14" s="4"/>
      <c r="AH14" s="4"/>
      <c r="AI14" s="4"/>
      <c r="AJ14" s="4"/>
      <c r="AK14" s="4"/>
      <c r="AL14" s="4"/>
      <c r="AM14" s="4"/>
      <c r="AN14" s="4"/>
      <c r="AO14" s="4"/>
    </row>
    <row r="15" spans="1:41" x14ac:dyDescent="0.3">
      <c r="A15" s="4"/>
      <c r="B15" s="4"/>
      <c r="C15" s="4"/>
      <c r="D15" s="4"/>
      <c r="E15" s="4"/>
      <c r="F15" s="4"/>
      <c r="G15" s="4"/>
      <c r="H15" s="4"/>
      <c r="I15" s="4"/>
      <c r="J15" s="4"/>
      <c r="K15" s="4"/>
      <c r="L15" s="4"/>
      <c r="M15" s="4"/>
      <c r="N15" s="4"/>
      <c r="O15" s="4"/>
      <c r="P15" s="4"/>
      <c r="Q15" s="4"/>
      <c r="R15" s="4"/>
      <c r="S15" s="4"/>
      <c r="T15" s="4"/>
      <c r="U15" s="4"/>
      <c r="V15" s="4"/>
      <c r="W15" s="4"/>
      <c r="X15" s="4"/>
      <c r="AC15" s="4"/>
      <c r="AD15" s="4"/>
      <c r="AE15" s="4"/>
      <c r="AF15" s="4"/>
      <c r="AG15" s="4"/>
      <c r="AH15" s="4"/>
      <c r="AI15" s="4"/>
      <c r="AJ15" s="4"/>
      <c r="AK15" s="4"/>
      <c r="AL15" s="4"/>
      <c r="AM15" s="4"/>
      <c r="AN15" s="4"/>
      <c r="AO15" s="4"/>
    </row>
    <row r="16" spans="1:41" x14ac:dyDescent="0.3">
      <c r="A16" s="4"/>
      <c r="B16" s="4"/>
      <c r="C16" s="4"/>
      <c r="D16" s="4"/>
      <c r="E16" s="4"/>
      <c r="F16" s="4"/>
      <c r="G16" s="4"/>
      <c r="H16" s="4"/>
      <c r="I16" s="4"/>
      <c r="J16" s="4"/>
      <c r="K16" s="4"/>
      <c r="L16" s="4"/>
      <c r="M16" s="4"/>
      <c r="N16" s="4"/>
      <c r="O16" s="4"/>
      <c r="P16" s="4"/>
      <c r="Q16" s="4"/>
      <c r="R16" s="4"/>
      <c r="S16" s="4"/>
      <c r="T16" s="4"/>
      <c r="U16" s="4"/>
      <c r="V16" s="4"/>
      <c r="W16" s="4"/>
      <c r="X16" s="4"/>
      <c r="AC16" s="4"/>
      <c r="AD16" s="4"/>
      <c r="AE16" s="4"/>
      <c r="AF16" s="4"/>
      <c r="AG16" s="4"/>
      <c r="AH16" s="4"/>
      <c r="AI16" s="4"/>
      <c r="AJ16" s="4"/>
      <c r="AK16" s="4"/>
      <c r="AL16" s="4"/>
      <c r="AM16" s="4"/>
      <c r="AN16" s="4"/>
      <c r="AO16" s="4"/>
    </row>
    <row r="17" spans="1:41" x14ac:dyDescent="0.3">
      <c r="A17" s="4"/>
      <c r="B17" s="4"/>
      <c r="C17" s="4"/>
      <c r="D17" s="4"/>
      <c r="E17" s="4"/>
      <c r="F17" s="4"/>
      <c r="G17" s="4"/>
      <c r="H17" s="4"/>
      <c r="I17" s="4"/>
      <c r="J17" s="4"/>
      <c r="K17" s="4"/>
      <c r="L17" s="4"/>
      <c r="M17" s="4"/>
      <c r="N17" s="4"/>
      <c r="O17" s="4"/>
      <c r="P17" s="4"/>
      <c r="Q17" s="4"/>
      <c r="R17" s="4"/>
      <c r="S17" s="4"/>
      <c r="T17" s="4"/>
      <c r="U17" s="4"/>
      <c r="V17" s="4"/>
      <c r="W17" s="4"/>
      <c r="X17" s="4"/>
      <c r="AC17" s="4"/>
      <c r="AD17" s="4"/>
      <c r="AE17" s="4"/>
      <c r="AF17" s="4"/>
      <c r="AG17" s="4"/>
      <c r="AH17" s="4"/>
      <c r="AI17" s="4"/>
      <c r="AJ17" s="4"/>
      <c r="AK17" s="4"/>
      <c r="AL17" s="4"/>
      <c r="AM17" s="4"/>
      <c r="AN17" s="4"/>
      <c r="AO17" s="4"/>
    </row>
    <row r="18" spans="1:41" x14ac:dyDescent="0.3">
      <c r="A18" s="4"/>
      <c r="B18" s="4"/>
      <c r="C18" s="4"/>
      <c r="D18" s="4"/>
      <c r="E18" s="4"/>
      <c r="F18" s="4"/>
      <c r="G18" s="4"/>
      <c r="H18" s="4"/>
      <c r="I18" s="4"/>
      <c r="J18" s="4"/>
      <c r="K18" s="4"/>
      <c r="L18" s="4"/>
      <c r="M18" s="4"/>
      <c r="N18" s="4"/>
      <c r="O18" s="4"/>
      <c r="P18" s="4"/>
      <c r="Q18" s="4"/>
      <c r="R18" s="4"/>
      <c r="S18" s="4"/>
      <c r="T18" s="4"/>
      <c r="U18" s="4"/>
      <c r="V18" s="4"/>
      <c r="W18" s="4"/>
      <c r="X18" s="4"/>
      <c r="AC18" s="4"/>
      <c r="AD18" s="4"/>
      <c r="AE18" s="4"/>
      <c r="AF18" s="4"/>
      <c r="AG18" s="4"/>
      <c r="AH18" s="4"/>
      <c r="AI18" s="4"/>
      <c r="AJ18" s="4"/>
      <c r="AK18" s="4"/>
      <c r="AL18" s="4"/>
      <c r="AM18" s="4"/>
      <c r="AN18" s="4"/>
      <c r="AO18" s="4"/>
    </row>
    <row r="19" spans="1:41" x14ac:dyDescent="0.3">
      <c r="A19" s="4"/>
      <c r="B19" s="4"/>
      <c r="C19" s="4"/>
      <c r="D19" s="4"/>
      <c r="E19" s="4"/>
      <c r="F19" s="4"/>
      <c r="G19" s="4"/>
      <c r="H19" s="4"/>
      <c r="I19" s="4"/>
      <c r="J19" s="4"/>
      <c r="K19" s="4"/>
      <c r="L19" s="4"/>
      <c r="M19" s="4"/>
      <c r="N19" s="4"/>
      <c r="O19" s="4"/>
      <c r="P19" s="4"/>
      <c r="Q19" s="4"/>
      <c r="R19" s="4"/>
      <c r="S19" s="4"/>
      <c r="T19" s="4"/>
      <c r="U19" s="4"/>
      <c r="V19" s="4"/>
      <c r="W19" s="4"/>
      <c r="X19" s="4"/>
      <c r="AC19" s="4"/>
      <c r="AD19" s="4"/>
      <c r="AE19" s="4"/>
      <c r="AF19" s="4"/>
      <c r="AG19" s="4"/>
      <c r="AH19" s="4"/>
      <c r="AI19" s="4"/>
      <c r="AJ19" s="4"/>
      <c r="AK19" s="4"/>
      <c r="AL19" s="4"/>
      <c r="AM19" s="4"/>
      <c r="AN19" s="4"/>
      <c r="AO19" s="4"/>
    </row>
    <row r="20" spans="1:41" x14ac:dyDescent="0.3">
      <c r="A20" s="4"/>
      <c r="B20" s="4"/>
      <c r="C20" s="4"/>
      <c r="D20" s="4"/>
      <c r="E20" s="4"/>
      <c r="F20" s="4"/>
      <c r="G20" s="4"/>
      <c r="H20" s="4"/>
      <c r="I20" s="4"/>
      <c r="J20" s="4"/>
      <c r="K20" s="4"/>
      <c r="L20" s="4"/>
      <c r="M20" s="4"/>
      <c r="N20" s="4"/>
      <c r="O20" s="4"/>
      <c r="P20" s="4"/>
      <c r="Q20" s="4"/>
      <c r="R20" s="4"/>
      <c r="S20" s="4"/>
      <c r="T20" s="4"/>
      <c r="U20" s="4"/>
      <c r="V20" s="4"/>
      <c r="W20" s="4"/>
      <c r="X20" s="4"/>
      <c r="AC20" s="4"/>
      <c r="AD20" s="4"/>
      <c r="AE20" s="4"/>
      <c r="AF20" s="4"/>
      <c r="AG20" s="4"/>
      <c r="AH20" s="4"/>
      <c r="AI20" s="4"/>
      <c r="AJ20" s="4"/>
      <c r="AK20" s="4"/>
      <c r="AL20" s="4"/>
      <c r="AM20" s="4"/>
      <c r="AN20" s="4"/>
      <c r="AO20" s="4"/>
    </row>
    <row r="21" spans="1:41" x14ac:dyDescent="0.3">
      <c r="A21" s="4"/>
      <c r="B21" s="4"/>
      <c r="C21" s="4"/>
      <c r="D21" s="4"/>
      <c r="E21" s="4"/>
      <c r="F21" s="4"/>
      <c r="G21" s="4"/>
      <c r="H21" s="4"/>
      <c r="I21" s="4"/>
      <c r="J21" s="4"/>
      <c r="K21" s="4"/>
      <c r="L21" s="4"/>
      <c r="M21" s="4"/>
      <c r="N21" s="4"/>
      <c r="O21" s="4"/>
      <c r="P21" s="4"/>
      <c r="Q21" s="4"/>
      <c r="R21" s="4"/>
      <c r="S21" s="4"/>
      <c r="T21" s="4"/>
      <c r="U21" s="4"/>
      <c r="V21" s="4"/>
      <c r="W21" s="4"/>
      <c r="X21" s="4"/>
      <c r="AC21" s="4"/>
      <c r="AD21" s="4"/>
      <c r="AE21" s="4"/>
      <c r="AF21" s="4"/>
      <c r="AG21" s="4"/>
      <c r="AH21" s="4"/>
      <c r="AI21" s="4"/>
      <c r="AJ21" s="4"/>
      <c r="AK21" s="4"/>
      <c r="AL21" s="4"/>
      <c r="AM21" s="4"/>
      <c r="AN21" s="4"/>
      <c r="AO21" s="4"/>
    </row>
    <row r="22" spans="1:41" x14ac:dyDescent="0.3">
      <c r="A22" s="4"/>
      <c r="B22" s="4"/>
      <c r="C22" s="4"/>
      <c r="D22" s="4"/>
      <c r="E22" s="4"/>
      <c r="F22" s="4"/>
      <c r="G22" s="4"/>
      <c r="H22" s="4"/>
      <c r="I22" s="4"/>
      <c r="J22" s="4"/>
      <c r="K22" s="4"/>
      <c r="L22" s="4"/>
      <c r="M22" s="4"/>
      <c r="N22" s="4"/>
      <c r="O22" s="4"/>
      <c r="P22" s="4"/>
      <c r="Q22" s="4"/>
      <c r="R22" s="4"/>
      <c r="S22" s="4"/>
      <c r="T22" s="4"/>
      <c r="U22" s="4"/>
      <c r="V22" s="4"/>
      <c r="W22" s="4"/>
      <c r="X22" s="4"/>
      <c r="AC22" s="4"/>
      <c r="AD22" s="4"/>
      <c r="AE22" s="4"/>
      <c r="AF22" s="4"/>
      <c r="AG22" s="4"/>
      <c r="AH22" s="4"/>
      <c r="AI22" s="4"/>
      <c r="AJ22" s="4"/>
      <c r="AK22" s="4"/>
      <c r="AL22" s="4"/>
      <c r="AM22" s="4"/>
      <c r="AN22" s="4"/>
      <c r="AO22" s="4"/>
    </row>
    <row r="23" spans="1:41" x14ac:dyDescent="0.3">
      <c r="A23" s="4"/>
      <c r="B23" s="4"/>
      <c r="C23" s="4"/>
      <c r="D23" s="4"/>
      <c r="E23" s="4"/>
      <c r="F23" s="4"/>
      <c r="G23" s="4"/>
      <c r="H23" s="4"/>
      <c r="I23" s="4"/>
      <c r="J23" s="4"/>
      <c r="K23" s="4"/>
      <c r="L23" s="4"/>
      <c r="M23" s="4"/>
      <c r="N23" s="4"/>
      <c r="O23" s="4"/>
      <c r="P23" s="4"/>
      <c r="Q23" s="4"/>
      <c r="R23" s="4"/>
      <c r="S23" s="4"/>
      <c r="T23" s="4"/>
      <c r="U23" s="4"/>
      <c r="V23" s="4"/>
      <c r="W23" s="4"/>
      <c r="X23" s="4"/>
      <c r="AC23" s="4"/>
      <c r="AD23" s="4"/>
      <c r="AE23" s="4"/>
      <c r="AF23" s="4"/>
      <c r="AG23" s="4"/>
      <c r="AH23" s="4"/>
      <c r="AI23" s="4"/>
      <c r="AJ23" s="4"/>
      <c r="AK23" s="4"/>
      <c r="AL23" s="4"/>
      <c r="AM23" s="4"/>
      <c r="AN23" s="4"/>
      <c r="AO23" s="4"/>
    </row>
    <row r="24" spans="1:41" x14ac:dyDescent="0.3">
      <c r="A24" s="4"/>
      <c r="B24" s="4"/>
      <c r="C24" s="4"/>
      <c r="D24" s="4"/>
      <c r="E24" s="4"/>
      <c r="F24" s="4"/>
      <c r="G24" s="4"/>
      <c r="H24" s="4"/>
      <c r="I24" s="4"/>
      <c r="J24" s="4"/>
      <c r="K24" s="4"/>
      <c r="L24" s="4"/>
      <c r="M24" s="4"/>
      <c r="N24" s="4"/>
      <c r="O24" s="4"/>
      <c r="P24" s="4"/>
      <c r="Q24" s="4"/>
      <c r="R24" s="4"/>
      <c r="S24" s="4"/>
      <c r="T24" s="4"/>
      <c r="U24" s="4"/>
      <c r="V24" s="4"/>
      <c r="W24" s="4"/>
      <c r="X24" s="4"/>
      <c r="AC24" s="4"/>
      <c r="AD24" s="4"/>
      <c r="AE24" s="4"/>
      <c r="AF24" s="4"/>
      <c r="AG24" s="4"/>
      <c r="AH24" s="4"/>
      <c r="AI24" s="4"/>
      <c r="AJ24" s="4"/>
      <c r="AK24" s="4"/>
      <c r="AL24" s="4"/>
      <c r="AM24" s="4"/>
      <c r="AN24" s="4"/>
      <c r="AO24" s="4"/>
    </row>
    <row r="25" spans="1:41" x14ac:dyDescent="0.3">
      <c r="A25" s="4"/>
      <c r="B25" s="4"/>
      <c r="C25" s="4"/>
      <c r="D25" s="4"/>
      <c r="E25" s="4"/>
      <c r="F25" s="4"/>
      <c r="G25" s="4"/>
      <c r="H25" s="4"/>
      <c r="I25" s="4"/>
      <c r="J25" s="4"/>
      <c r="K25" s="4"/>
      <c r="L25" s="4"/>
      <c r="M25" s="4"/>
      <c r="N25" s="4"/>
      <c r="O25" s="4"/>
      <c r="P25" s="4"/>
      <c r="Q25" s="4"/>
      <c r="R25" s="4"/>
      <c r="S25" s="4"/>
      <c r="T25" s="4"/>
      <c r="U25" s="4"/>
      <c r="V25" s="4"/>
      <c r="W25" s="4"/>
      <c r="X25" s="4"/>
      <c r="AC25" s="4"/>
      <c r="AD25" s="4"/>
      <c r="AE25" s="4"/>
      <c r="AF25" s="4"/>
      <c r="AG25" s="4"/>
      <c r="AH25" s="4"/>
      <c r="AI25" s="4"/>
      <c r="AJ25" s="4"/>
      <c r="AK25" s="4"/>
      <c r="AL25" s="4"/>
      <c r="AM25" s="4"/>
      <c r="AN25" s="4"/>
      <c r="AO25" s="4"/>
    </row>
    <row r="26" spans="1:41" x14ac:dyDescent="0.3">
      <c r="A26" s="4"/>
      <c r="B26" s="4"/>
      <c r="C26" s="4"/>
      <c r="D26" s="4"/>
      <c r="E26" s="4"/>
      <c r="F26" s="4"/>
      <c r="G26" s="4"/>
      <c r="H26" s="4"/>
      <c r="I26" s="4"/>
      <c r="J26" s="4"/>
      <c r="K26" s="4"/>
      <c r="L26" s="4"/>
      <c r="M26" s="4"/>
      <c r="N26" s="4"/>
      <c r="O26" s="4"/>
      <c r="P26" s="4"/>
      <c r="Q26" s="4"/>
      <c r="R26" s="4"/>
      <c r="S26" s="4"/>
      <c r="T26" s="4"/>
      <c r="U26" s="4"/>
      <c r="V26" s="4"/>
      <c r="W26" s="4"/>
      <c r="X26" s="4"/>
      <c r="AC26" s="4"/>
      <c r="AD26" s="4"/>
      <c r="AE26" s="4"/>
      <c r="AF26" s="4"/>
      <c r="AG26" s="4"/>
      <c r="AH26" s="4"/>
      <c r="AI26" s="4"/>
      <c r="AJ26" s="4"/>
      <c r="AK26" s="4"/>
      <c r="AL26" s="4"/>
      <c r="AM26" s="4"/>
      <c r="AN26" s="4"/>
      <c r="AO26" s="4"/>
    </row>
    <row r="27" spans="1:41" x14ac:dyDescent="0.3">
      <c r="A27" s="4"/>
      <c r="B27" s="4"/>
      <c r="C27" s="4"/>
      <c r="D27" s="4"/>
      <c r="E27" s="4"/>
      <c r="F27" s="4"/>
      <c r="G27" s="4"/>
      <c r="H27" s="4"/>
      <c r="I27" s="4"/>
      <c r="J27" s="4"/>
      <c r="K27" s="4"/>
      <c r="L27" s="4"/>
      <c r="M27" s="4"/>
      <c r="N27" s="4"/>
      <c r="O27" s="4"/>
      <c r="P27" s="4"/>
      <c r="Q27" s="4"/>
      <c r="R27" s="4"/>
      <c r="S27" s="4"/>
      <c r="T27" s="4"/>
      <c r="U27" s="4"/>
      <c r="V27" s="4"/>
      <c r="W27" s="4"/>
      <c r="X27" s="4"/>
      <c r="AC27" s="4"/>
      <c r="AD27" s="4"/>
      <c r="AE27" s="4"/>
      <c r="AF27" s="4"/>
      <c r="AG27" s="4"/>
      <c r="AH27" s="4"/>
      <c r="AI27" s="4"/>
      <c r="AJ27" s="4"/>
      <c r="AK27" s="4"/>
      <c r="AL27" s="4"/>
      <c r="AM27" s="4"/>
      <c r="AN27" s="4"/>
      <c r="AO27" s="4"/>
    </row>
    <row r="28" spans="1:41" x14ac:dyDescent="0.3">
      <c r="A28" s="4"/>
      <c r="B28" s="4"/>
      <c r="C28" s="4"/>
      <c r="D28" s="4"/>
      <c r="E28" s="4"/>
      <c r="F28" s="4"/>
      <c r="G28" s="4"/>
      <c r="H28" s="4"/>
      <c r="I28" s="4"/>
      <c r="J28" s="4"/>
      <c r="K28" s="4"/>
      <c r="L28" s="4"/>
      <c r="M28" s="4"/>
      <c r="N28" s="4"/>
      <c r="O28" s="4"/>
      <c r="P28" s="4"/>
      <c r="Q28" s="4"/>
      <c r="R28" s="4"/>
      <c r="S28" s="4"/>
      <c r="T28" s="4"/>
      <c r="U28" s="4"/>
      <c r="V28" s="4"/>
      <c r="W28" s="4"/>
      <c r="X28" s="4"/>
      <c r="AC28" s="4"/>
      <c r="AD28" s="4"/>
      <c r="AE28" s="4"/>
      <c r="AF28" s="4"/>
      <c r="AG28" s="4"/>
      <c r="AH28" s="4"/>
      <c r="AI28" s="4"/>
      <c r="AJ28" s="4"/>
      <c r="AK28" s="4"/>
      <c r="AL28" s="4"/>
      <c r="AM28" s="4"/>
      <c r="AN28" s="4"/>
      <c r="AO28" s="4"/>
    </row>
    <row r="29" spans="1:41" x14ac:dyDescent="0.3">
      <c r="A29" s="4"/>
      <c r="B29" s="4"/>
      <c r="C29" s="4"/>
      <c r="D29" s="4"/>
      <c r="E29" s="4"/>
      <c r="F29" s="4"/>
      <c r="G29" s="4"/>
      <c r="H29" s="4"/>
      <c r="I29" s="4"/>
      <c r="J29" s="4"/>
      <c r="K29" s="4"/>
      <c r="L29" s="4"/>
      <c r="M29" s="4"/>
      <c r="N29" s="4"/>
      <c r="O29" s="4"/>
      <c r="P29" s="4"/>
      <c r="Q29" s="4"/>
      <c r="R29" s="4"/>
      <c r="S29" s="4"/>
      <c r="T29" s="4"/>
      <c r="U29" s="4"/>
      <c r="V29" s="4"/>
      <c r="W29" s="4"/>
      <c r="X29" s="4"/>
      <c r="AC29" s="4"/>
      <c r="AD29" s="4"/>
      <c r="AE29" s="4"/>
      <c r="AF29" s="4"/>
      <c r="AG29" s="4"/>
      <c r="AH29" s="4"/>
      <c r="AI29" s="4"/>
      <c r="AJ29" s="4"/>
      <c r="AK29" s="4"/>
      <c r="AL29" s="4"/>
      <c r="AM29" s="4"/>
      <c r="AN29" s="4"/>
      <c r="AO29" s="4"/>
    </row>
    <row r="30" spans="1:41" x14ac:dyDescent="0.3">
      <c r="A30" s="4"/>
      <c r="B30" s="4"/>
      <c r="C30" s="4"/>
      <c r="D30" s="4"/>
      <c r="E30" s="4"/>
      <c r="F30" s="4"/>
      <c r="G30" s="4"/>
      <c r="H30" s="4"/>
      <c r="I30" s="4"/>
      <c r="J30" s="4"/>
      <c r="K30" s="4"/>
      <c r="L30" s="4"/>
      <c r="M30" s="4"/>
      <c r="N30" s="4"/>
      <c r="O30" s="4"/>
      <c r="P30" s="4"/>
      <c r="Q30" s="4"/>
      <c r="R30" s="4"/>
      <c r="S30" s="4"/>
      <c r="T30" s="4"/>
      <c r="U30" s="4"/>
      <c r="V30" s="4"/>
      <c r="W30" s="4"/>
      <c r="X30" s="4"/>
      <c r="AC30" s="4"/>
      <c r="AD30" s="4"/>
      <c r="AE30" s="4"/>
      <c r="AF30" s="4"/>
      <c r="AG30" s="4"/>
      <c r="AH30" s="4"/>
      <c r="AI30" s="4"/>
      <c r="AJ30" s="4"/>
      <c r="AK30" s="4"/>
      <c r="AL30" s="4"/>
      <c r="AM30" s="4"/>
      <c r="AN30" s="4"/>
      <c r="AO30" s="4"/>
    </row>
    <row r="31" spans="1:41" x14ac:dyDescent="0.3">
      <c r="A31" s="4"/>
      <c r="B31" s="4"/>
      <c r="C31" s="4"/>
      <c r="D31" s="4"/>
      <c r="E31" s="4"/>
      <c r="F31" s="4"/>
      <c r="G31" s="4"/>
      <c r="H31" s="4"/>
      <c r="I31" s="4"/>
      <c r="J31" s="4"/>
      <c r="K31" s="4"/>
      <c r="L31" s="4"/>
      <c r="M31" s="4"/>
      <c r="N31" s="4"/>
      <c r="O31" s="4"/>
      <c r="P31" s="4"/>
      <c r="Q31" s="4"/>
      <c r="R31" s="4"/>
      <c r="S31" s="4"/>
      <c r="T31" s="4"/>
      <c r="U31" s="4"/>
      <c r="V31" s="4"/>
      <c r="W31" s="4"/>
      <c r="X31" s="4"/>
    </row>
    <row r="32" spans="1:41"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row r="38" spans="1:24" x14ac:dyDescent="0.3">
      <c r="A38" s="4"/>
      <c r="B38" s="4"/>
      <c r="C38" s="4"/>
      <c r="D38" s="4"/>
      <c r="E38" s="4"/>
      <c r="F38" s="4"/>
      <c r="G38" s="4"/>
      <c r="H38" s="4"/>
      <c r="I38" s="4"/>
      <c r="J38" s="4"/>
      <c r="K38" s="4"/>
      <c r="L38" s="4"/>
      <c r="M38" s="4"/>
      <c r="N38" s="4"/>
      <c r="O38" s="4"/>
      <c r="P38" s="4"/>
      <c r="Q38" s="4"/>
      <c r="R38" s="4"/>
      <c r="S38" s="4"/>
      <c r="T38" s="4"/>
      <c r="U38" s="4"/>
      <c r="V38" s="4"/>
      <c r="W38" s="4"/>
      <c r="X38" s="4"/>
    </row>
    <row r="39" spans="1:24" x14ac:dyDescent="0.3">
      <c r="A39" s="4"/>
      <c r="B39" s="4"/>
      <c r="C39" s="4"/>
      <c r="D39" s="4"/>
      <c r="E39" s="4"/>
      <c r="F39" s="4"/>
      <c r="G39" s="4"/>
      <c r="H39" s="4"/>
      <c r="I39" s="4"/>
      <c r="J39" s="4"/>
      <c r="K39" s="4"/>
      <c r="L39" s="4"/>
      <c r="M39" s="4"/>
      <c r="N39" s="4"/>
      <c r="O39" s="4"/>
      <c r="P39" s="4"/>
      <c r="Q39" s="4"/>
      <c r="R39" s="4"/>
      <c r="S39" s="4"/>
      <c r="T39" s="4"/>
      <c r="U39" s="4"/>
      <c r="V39" s="4"/>
      <c r="W39" s="4"/>
      <c r="X39" s="4"/>
    </row>
    <row r="40" spans="1:24" x14ac:dyDescent="0.3">
      <c r="A40" s="4"/>
      <c r="B40" s="4"/>
      <c r="C40" s="4"/>
      <c r="D40" s="4"/>
      <c r="E40" s="4"/>
      <c r="F40" s="4"/>
      <c r="G40" s="4"/>
      <c r="H40" s="4"/>
      <c r="I40" s="4"/>
      <c r="J40" s="4"/>
      <c r="K40" s="4"/>
      <c r="L40" s="4"/>
      <c r="M40" s="4"/>
      <c r="N40" s="4"/>
      <c r="O40" s="4"/>
      <c r="P40" s="4"/>
      <c r="Q40" s="4"/>
      <c r="R40" s="4"/>
      <c r="S40" s="4"/>
      <c r="T40" s="4"/>
      <c r="U40" s="4"/>
      <c r="V40" s="4"/>
      <c r="W40" s="4"/>
      <c r="X40" s="4"/>
    </row>
    <row r="41" spans="1:24" x14ac:dyDescent="0.3">
      <c r="A41" s="4"/>
      <c r="B41" s="4"/>
      <c r="C41" s="4"/>
      <c r="D41" s="4"/>
      <c r="E41" s="4"/>
      <c r="F41" s="4"/>
      <c r="G41" s="4"/>
      <c r="H41" s="4"/>
      <c r="I41" s="4"/>
      <c r="J41" s="4"/>
      <c r="K41" s="4"/>
      <c r="L41" s="4"/>
      <c r="M41" s="4"/>
      <c r="N41" s="4"/>
      <c r="O41" s="4"/>
      <c r="P41" s="4"/>
      <c r="Q41" s="4"/>
      <c r="R41" s="4"/>
      <c r="S41" s="4"/>
      <c r="T41" s="4"/>
      <c r="U41" s="4"/>
      <c r="V41" s="4"/>
      <c r="W41" s="4"/>
      <c r="X41" s="4"/>
    </row>
    <row r="42" spans="1:24" x14ac:dyDescent="0.3">
      <c r="A42" s="4"/>
      <c r="B42" s="4"/>
      <c r="C42" s="4"/>
      <c r="D42" s="4"/>
      <c r="E42" s="4"/>
      <c r="F42" s="4"/>
      <c r="G42" s="4"/>
      <c r="H42" s="4"/>
      <c r="I42" s="4"/>
      <c r="J42" s="4"/>
      <c r="K42" s="4"/>
      <c r="L42" s="4"/>
      <c r="M42" s="4"/>
      <c r="N42" s="4"/>
      <c r="O42" s="4"/>
      <c r="P42" s="4"/>
      <c r="Q42" s="4"/>
      <c r="R42" s="4"/>
      <c r="S42" s="4"/>
      <c r="T42" s="4"/>
      <c r="U42" s="4"/>
      <c r="V42" s="4"/>
      <c r="W42" s="4"/>
      <c r="X42" s="4"/>
    </row>
    <row r="43" spans="1:24" x14ac:dyDescent="0.3">
      <c r="A43" s="4"/>
      <c r="B43" s="4"/>
      <c r="C43" s="4"/>
      <c r="D43" s="4"/>
      <c r="E43" s="4"/>
      <c r="F43" s="4"/>
      <c r="G43" s="4"/>
      <c r="H43" s="4"/>
      <c r="I43" s="4"/>
      <c r="J43" s="4"/>
      <c r="K43" s="4"/>
      <c r="L43" s="4"/>
      <c r="M43" s="4"/>
      <c r="N43" s="4"/>
      <c r="O43" s="4"/>
      <c r="P43" s="4"/>
      <c r="Q43" s="4"/>
      <c r="R43" s="4"/>
      <c r="S43" s="4"/>
      <c r="T43" s="4"/>
      <c r="U43" s="4"/>
      <c r="V43" s="4"/>
      <c r="W43" s="4"/>
      <c r="X43" s="4"/>
    </row>
    <row r="44" spans="1:24" x14ac:dyDescent="0.3">
      <c r="A44" s="4"/>
      <c r="B44" s="4"/>
      <c r="C44" s="4"/>
      <c r="D44" s="4"/>
      <c r="E44" s="4"/>
      <c r="F44" s="4"/>
      <c r="G44" s="4"/>
      <c r="H44" s="4"/>
      <c r="I44" s="4"/>
      <c r="J44" s="4"/>
      <c r="K44" s="4"/>
      <c r="L44" s="4"/>
      <c r="M44" s="4"/>
      <c r="N44" s="4"/>
      <c r="O44" s="4"/>
      <c r="P44" s="4"/>
      <c r="Q44" s="4"/>
      <c r="R44" s="4"/>
      <c r="S44" s="4"/>
      <c r="T44" s="4"/>
      <c r="U44" s="4"/>
      <c r="V44" s="4"/>
      <c r="W44" s="4"/>
      <c r="X44" s="4"/>
    </row>
    <row r="45" spans="1:24" x14ac:dyDescent="0.3">
      <c r="A45" s="4"/>
      <c r="B45" s="4"/>
      <c r="C45" s="4"/>
      <c r="D45" s="4"/>
      <c r="E45" s="4"/>
      <c r="F45" s="4"/>
      <c r="G45" s="4"/>
      <c r="H45" s="4"/>
      <c r="I45" s="4"/>
      <c r="J45" s="4"/>
      <c r="K45" s="4"/>
      <c r="L45" s="4"/>
      <c r="M45" s="4"/>
      <c r="N45" s="4"/>
      <c r="O45" s="4"/>
      <c r="P45" s="4"/>
      <c r="Q45" s="4"/>
      <c r="R45" s="4"/>
      <c r="S45" s="4"/>
      <c r="T45" s="4"/>
      <c r="U45" s="4"/>
      <c r="V45" s="4"/>
      <c r="W45" s="4"/>
      <c r="X45" s="4"/>
    </row>
    <row r="46" spans="1:24" x14ac:dyDescent="0.3">
      <c r="A46" s="4"/>
      <c r="B46" s="4"/>
      <c r="C46" s="4"/>
      <c r="D46" s="4"/>
      <c r="E46" s="4"/>
      <c r="F46" s="4"/>
      <c r="G46" s="4"/>
      <c r="H46" s="4"/>
      <c r="I46" s="4"/>
      <c r="J46" s="4"/>
      <c r="K46" s="4"/>
      <c r="L46" s="4"/>
      <c r="M46" s="4"/>
      <c r="N46" s="4"/>
      <c r="O46" s="4"/>
      <c r="P46" s="4"/>
      <c r="Q46" s="4"/>
      <c r="R46" s="4"/>
      <c r="S46" s="4"/>
      <c r="T46" s="4"/>
      <c r="U46" s="4"/>
      <c r="V46" s="4"/>
      <c r="W46" s="4"/>
      <c r="X46" s="4"/>
    </row>
    <row r="47" spans="1:24" x14ac:dyDescent="0.3">
      <c r="A47" s="4"/>
      <c r="B47" s="4"/>
      <c r="C47" s="4"/>
      <c r="D47" s="4"/>
      <c r="E47" s="4"/>
      <c r="F47" s="4"/>
      <c r="G47" s="4"/>
      <c r="H47" s="4"/>
      <c r="I47" s="4"/>
      <c r="J47" s="4"/>
      <c r="K47" s="4"/>
      <c r="L47" s="4"/>
      <c r="M47" s="4"/>
      <c r="N47" s="4"/>
      <c r="O47" s="4"/>
      <c r="P47" s="4"/>
      <c r="Q47" s="4"/>
      <c r="R47" s="4"/>
      <c r="S47" s="4"/>
      <c r="T47" s="4"/>
      <c r="U47" s="4"/>
      <c r="V47" s="4"/>
      <c r="W47" s="4"/>
      <c r="X47" s="4"/>
    </row>
    <row r="48" spans="1:24" x14ac:dyDescent="0.3">
      <c r="A48" s="4"/>
      <c r="B48" s="4"/>
      <c r="C48" s="4"/>
      <c r="D48" s="4"/>
      <c r="E48" s="4"/>
      <c r="F48" s="4"/>
      <c r="G48" s="4"/>
      <c r="H48" s="4"/>
      <c r="I48" s="4"/>
      <c r="J48" s="4"/>
      <c r="K48" s="4"/>
      <c r="L48" s="4"/>
      <c r="M48" s="4"/>
      <c r="N48" s="4"/>
      <c r="O48" s="4"/>
      <c r="P48" s="4"/>
      <c r="Q48" s="4"/>
      <c r="R48" s="4"/>
      <c r="S48" s="4"/>
      <c r="T48" s="4"/>
      <c r="U48" s="4"/>
      <c r="V48" s="4"/>
      <c r="W48" s="4"/>
      <c r="X48" s="4"/>
    </row>
    <row r="49" spans="1:24" x14ac:dyDescent="0.3">
      <c r="A49" s="4"/>
      <c r="B49" s="4"/>
      <c r="C49" s="4"/>
      <c r="D49" s="4"/>
      <c r="E49" s="4"/>
      <c r="F49" s="4"/>
      <c r="G49" s="4"/>
      <c r="H49" s="4"/>
      <c r="I49" s="4"/>
      <c r="J49" s="4"/>
      <c r="K49" s="4"/>
      <c r="L49" s="4"/>
      <c r="M49" s="4"/>
      <c r="N49" s="4"/>
      <c r="O49" s="4"/>
      <c r="P49" s="4"/>
      <c r="Q49" s="4"/>
      <c r="R49" s="4"/>
      <c r="S49" s="4"/>
      <c r="T49" s="4"/>
      <c r="U49" s="4"/>
      <c r="V49" s="4"/>
      <c r="W49" s="4"/>
      <c r="X49" s="4"/>
    </row>
    <row r="50" spans="1:24" x14ac:dyDescent="0.3">
      <c r="A50" s="4"/>
      <c r="B50" s="4"/>
      <c r="C50" s="4"/>
      <c r="D50" s="4"/>
      <c r="E50" s="4"/>
      <c r="F50" s="4"/>
      <c r="G50" s="4"/>
      <c r="H50" s="4"/>
      <c r="I50" s="4"/>
      <c r="J50" s="4"/>
      <c r="K50" s="4"/>
      <c r="L50" s="4"/>
      <c r="M50" s="4"/>
      <c r="N50" s="4"/>
      <c r="O50" s="4"/>
      <c r="P50" s="4"/>
      <c r="Q50" s="4"/>
      <c r="R50" s="4"/>
      <c r="S50" s="4"/>
      <c r="T50" s="4"/>
      <c r="U50" s="4"/>
      <c r="V50" s="4"/>
      <c r="W50" s="4"/>
      <c r="X50" s="4"/>
    </row>
    <row r="51" spans="1:24" x14ac:dyDescent="0.3">
      <c r="A51" s="4"/>
      <c r="B51" s="4"/>
      <c r="C51" s="4"/>
      <c r="D51" s="4"/>
      <c r="E51" s="4"/>
      <c r="F51" s="4"/>
      <c r="G51" s="4"/>
      <c r="H51" s="4"/>
      <c r="I51" s="4"/>
      <c r="J51" s="4"/>
      <c r="K51" s="4"/>
      <c r="L51" s="4"/>
      <c r="M51" s="4"/>
      <c r="N51" s="4"/>
      <c r="O51" s="4"/>
      <c r="P51" s="4"/>
      <c r="Q51" s="4"/>
      <c r="R51" s="4"/>
      <c r="S51" s="4"/>
      <c r="T51" s="4"/>
      <c r="U51" s="4"/>
      <c r="V51" s="4"/>
      <c r="W51" s="4"/>
      <c r="X51" s="4"/>
    </row>
    <row r="52" spans="1:24" x14ac:dyDescent="0.3">
      <c r="A52" s="4"/>
      <c r="B52" s="4"/>
      <c r="C52" s="4"/>
      <c r="D52" s="4"/>
      <c r="E52" s="4"/>
      <c r="F52" s="4"/>
      <c r="G52" s="4"/>
      <c r="H52" s="4"/>
      <c r="I52" s="4"/>
      <c r="J52" s="4"/>
      <c r="K52" s="4"/>
      <c r="L52" s="4"/>
      <c r="M52" s="4"/>
      <c r="N52" s="4"/>
      <c r="O52" s="4"/>
      <c r="P52" s="4"/>
      <c r="Q52" s="4"/>
      <c r="R52" s="4"/>
      <c r="S52" s="4"/>
      <c r="T52" s="4"/>
      <c r="U52" s="4"/>
      <c r="V52" s="4"/>
      <c r="W52" s="4"/>
      <c r="X5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Reynara Albert Pradana</dc:creator>
  <cp:lastModifiedBy>HP Probook</cp:lastModifiedBy>
  <dcterms:created xsi:type="dcterms:W3CDTF">2025-12-08T12:20:12Z</dcterms:created>
  <dcterms:modified xsi:type="dcterms:W3CDTF">2026-02-11T06:19:52Z</dcterms:modified>
</cp:coreProperties>
</file>